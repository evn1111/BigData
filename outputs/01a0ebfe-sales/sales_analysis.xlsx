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ff5bd5d2c42e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Анализ" sheetId="1" r:id="R3073a8e6a8ea4e9e"/>
    <sheet name="По месяцам" sheetId="2" r:id="Ra54337f19b6b426d"/>
    <sheet name="sales_data" sheetId="3" r:id="Rdd4285e338164cfe"/>
  </sheets>
  <calcPr calcMode="auto" fullCalcOnLoad="1" forceFullCalc="1"/>
  <pivotCaches>
    <pivotCache cacheId="0" r:id="rIdMonthlyCache"/>
  </pivotCach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"/>
    <x:numFmt numFmtId="203" formatCode="#,##0"/>
    <x:numFmt numFmtId="204" formatCode="0.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5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ff8ba1a169444d12" /><Relationship Type="http://schemas.openxmlformats.org/officeDocument/2006/relationships/theme" Target="/xl/theme/theme1.xml" Id="R89d31f4479e740ec" /><Relationship Type="http://schemas.openxmlformats.org/officeDocument/2006/relationships/sharedStrings" Target="/xl/sharedStrings.xml" Id="R7a812ab78d814be1" /><Relationship Type="http://schemas.openxmlformats.org/officeDocument/2006/relationships/worksheet" Target="/xl/worksheets/sheet1.xml" Id="R3073a8e6a8ea4e9e" /><Relationship Type="http://schemas.openxmlformats.org/officeDocument/2006/relationships/worksheet" Target="/xl/worksheets/sheet2.xml" Id="Ra54337f19b6b426d" /><Relationship Type="http://schemas.openxmlformats.org/officeDocument/2006/relationships/worksheet" Target="/xl/worksheets/sheet3.xml" Id="Rdd4285e338164cfe" /><Relationship Id="rIdMonthlyCache" Type="http://schemas.openxmlformats.org/officeDocument/2006/relationships/pivotCacheDefinition" Target="pivotCache/pivotCacheDefinition1.xml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ba867855674079" /><Relationship Type="http://schemas.openxmlformats.org/officeDocument/2006/relationships/chart" Target="/xl/drawings/charts/chart2.xml" Id="R6b322f5d195c46a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d6f087b733546aa" /><Relationship Type="http://schemas.openxmlformats.org/officeDocument/2006/relationships/chart" Target="/xl/drawings/charts/chart4.xml" Id="Re195041a5e3547c5" /></Relationships>
</file>

<file path=xl/drawings/charts/chart1.xml><?xml version="1.0" encoding="utf-8"?>
<chartSpace xmlns="http://schemas.openxmlformats.org/drawingml/2006/chart" xmlns:ns1="http://schemas.openxmlformats.org/drawingml/2006/main">
  <lang val="en-US"/>
  <roundedCorners val="0"/>
  <chart>
    <title>
      <tx>
        <rich>
          <ns1:bodyPr/>
          <ns1:lstStyle/>
          <ns1:p>
            <ns1:r>
              <ns1:rPr sz="975">
                <ns1:latin typeface="Arial"/>
                <ns1:ea typeface="Arial"/>
                <ns1:cs typeface="Arial"/>
              </ns1:rPr>
              <ns1:t>Продано единиц по категориям</ns1:t>
            </ns1:r>
          </ns1:p>
        </rich>
      </tx>
      <overlay val="0"/>
      <txPr>
        <ns1:bodyPr anchorCtr="1"/>
        <ns1:lstStyle/>
        <ns1:p>
          <ns1:pPr>
            <ns1:defRPr sz="975">
              <ns1:latin typeface="Arial"/>
              <ns1:ea typeface="Arial"/>
              <ns1:cs typeface="Arial"/>
            </ns1:defRPr>
          </ns1:pPr>
        </ns1:p>
      </txPr>
    </title>
    <plotArea>
      <barChart>
        <barDir val="col"/>
        <varyColors val="0"/>
        <ser>
          <idx val="0"/>
          <order val="0"/>
          <tx>
            <v>Количество, шт.</v>
          </tx>
          <spPr>
            <ns1:solidFill>
              <ns1:srgbClr val="3975A5"/>
            </ns1:solidFill>
          </spPr>
          <invertIfNegative val="0"/>
          <cat>
            <strRef>
              <f>'Анализ'!$A$21:$A$24</f>
              <strCache>
                <ptCount val="0"/>
              </strCache>
            </strRef>
          </cat>
          <val>
            <numRef>
              <f>'Анализ'!$B$21:$B$24</f>
              <numCache>
                <formatCode>#,##0</formatCode>
                <ptCount val="0"/>
              </numCache>
            </numRef>
          </val>
        </ser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ns1:ln w="9525">
              <ns1:solidFill>
                <ns1:srgbClr val="CCCCCC"/>
              </ns1:solidFill>
              <ns1:prstDash val="dash"/>
            </ns1:ln>
          </spPr>
        </majorGridlines>
        <numFmt formatCode="General"/>
        <majorTickMark val="none"/>
        <minorTickMark val="none"/>
        <tickLblPos val="nextTo"/>
        <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txPr>
        <crossAx val="48672768"/>
      </catAx>
      <valAx>
        <axId val="48672768"/>
        <scaling>
          <orientation val="minMax"/>
          <min val="0"/>
        </scaling>
        <delete val="0"/>
        <axPos val="l"/>
        <majorGridlines>
          <spPr>
            <ns1:ln w="9525">
              <ns1:solidFill>
                <ns1:srgbClr val="CCCCCC"/>
              </ns1:solidFill>
              <ns1:prstDash val="dash"/>
            </ns1:ln>
          </spPr>
        </majorGridlines>
        <numFmt formatCode="#,##0" sourceLinked="0"/>
        <majorTickMark val="none"/>
        <minorTickMark val="none"/>
        <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txPr>
        <crossAx val="48650112"/>
        <crossBetween val="between"/>
      </valAx>
    </plotArea>
    <plotVisOnly val="1"/>
  </chart>
  <spPr>
    <ns1:ln w="9525">
      <ns1:solidFill>
        <ns1:srgbClr val="D9D9D9"/>
      </ns1:solidFill>
      <ns1:prstDash val="solid"/>
    </ns1:ln>
  </spPr>
</chartSpace>
</file>

<file path=xl/drawings/charts/chart2.xml><?xml version="1.0" encoding="utf-8"?>
<chartSpace xmlns="http://schemas.openxmlformats.org/drawingml/2006/chart" xmlns:ns1="http://schemas.openxmlformats.org/drawingml/2006/main">
  <lang val="en-US"/>
  <roundedCorners val="0"/>
  <chart>
    <title>
      <tx>
        <rich>
          <ns1:bodyPr/>
          <ns1:lstStyle/>
          <ns1:p>
            <ns1:r>
              <ns1:rPr sz="975">
                <ns1:latin typeface="Arial"/>
                <ns1:ea typeface="Arial"/>
                <ns1:cs typeface="Arial"/>
              </ns1:rPr>
              <ns1:t>Выручка по регионам, млн ден. ед.</ns1:t>
            </ns1:r>
          </ns1:p>
        </rich>
      </tx>
      <overlay val="0"/>
      <txPr>
        <ns1:bodyPr anchorCtr="1"/>
        <ns1:lstStyle/>
        <ns1:p>
          <ns1:pPr>
            <ns1:defRPr sz="975">
              <ns1:latin typeface="Arial"/>
              <ns1:ea typeface="Arial"/>
              <ns1:cs typeface="Arial"/>
            </ns1:defRPr>
          </ns1:pPr>
        </ns1:p>
      </txPr>
    </title>
    <plotArea>
      <barChart>
        <barDir val="col"/>
        <varyColors val="0"/>
        <ser>
          <idx val="0"/>
          <order val="0"/>
          <tx>
            <v>Выручка, ден. ед.</v>
          </tx>
          <spPr>
            <ns1:solidFill>
              <ns1:srgbClr val="3975A5"/>
            </ns1:solidFill>
          </spPr>
          <invertIfNegative val="0"/>
          <cat>
            <strRef>
              <f>'Анализ'!$A$28:$A$33</f>
              <strCache>
                <ptCount val="0"/>
              </strCache>
            </strRef>
          </cat>
          <val>
            <numRef>
              <f>'Анализ'!$B$28:$B$33</f>
              <numCache>
                <formatCode>#,##0.00</formatCode>
                <ptCount val="0"/>
              </numCache>
            </numRef>
          </val>
        </ser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ns1:ln w="9525">
              <ns1:solidFill>
                <ns1:srgbClr val="CCCCCC"/>
              </ns1:solidFill>
              <ns1:prstDash val="dash"/>
            </ns1:ln>
          </spPr>
        </majorGridlines>
        <numFmt formatCode="General"/>
        <majorTickMark val="none"/>
        <minorTickMark val="none"/>
        <tickLblPos val="nextTo"/>
        <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txPr>
        <crossAx val="48672768"/>
      </catAx>
      <valAx>
        <axId val="48672768"/>
        <scaling>
          <orientation val="minMax"/>
          <min val="0"/>
        </scaling>
        <delete val="0"/>
        <axPos val="l"/>
        <majorGridlines>
          <spPr>
            <ns1:ln w="9525">
              <ns1:solidFill>
                <ns1:srgbClr val="CCCCCC"/>
              </ns1:solidFill>
              <ns1:prstDash val="dash"/>
            </ns1:ln>
          </spPr>
        </majorGridlines>
        <numFmt formatCode="0.0,,&quot; млн&quot;" sourceLinked="0"/>
        <majorTickMark val="none"/>
        <minorTickMark val="none"/>
        <txPr>
          <ns1:bodyPr anchorCtr="1"/>
          <ns1:lstStyle/>
          <ns1:p>
            <ns1:pPr>
              <ns1:defRPr sz="750">
                <ns1:latin typeface="Arial"/>
                <ns1:ea typeface="Arial"/>
                <ns1:cs typeface="Arial"/>
              </ns1:defRPr>
            </ns1:pPr>
          </ns1:p>
        </txPr>
        <crossAx val="48650112"/>
        <crossBetween val="between"/>
      </valAx>
    </plotArea>
    <plotVisOnly val="1"/>
  </chart>
  <spPr>
    <ns1:ln w="9525">
      <ns1:solidFill>
        <ns1:srgbClr val="D9D9D9"/>
      </ns1:solidFill>
      <ns1:prstDash val="solid"/>
    </ns1:ln>
  </spPr>
</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Выручка по месяцам, млн ден. ед.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Сумма Total</c:v>
          </c:tx>
          <c:spPr>
            <a:solidFill xmlns:a="http://schemas.openxmlformats.org/drawingml/2006/main">
              <a:srgbClr val="3975A5"/>
            </a:solidFill>
            <a:ln xmlns:a="http://schemas.openxmlformats.org/drawingml/2006/main" w="19050">
              <a:solidFill>
                <a:srgbClr val="3975A5"/>
              </a:solidFill>
              <a:prstDash val="solid"/>
            </a:ln>
          </c:spPr>
          <c:marker>
            <c:symbol val="none"/>
          </c:marker>
          <c:cat>
            <c:strRef>
              <c:f>'По месяцам'!$A$5:$A$16</c:f>
              <c:strCache>
                <c:ptCount val="0"/>
              </c:strCache>
            </c:strRef>
          </c:cat>
          <c:val>
            <c:numRef>
              <c:f>'По месяцам'!$B$5:$B$16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Выручка категорий, млн ден. ед.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Одежда</c:v>
          </c:tx>
          <c:spPr>
            <a:solidFill xmlns:a="http://schemas.openxmlformats.org/drawingml/2006/main">
              <a:srgbClr val="3975A5"/>
            </a:solidFill>
            <a:ln xmlns:a="http://schemas.openxmlformats.org/drawingml/2006/main" w="19050">
              <a:solidFill>
                <a:srgbClr val="3975A5"/>
              </a:solidFill>
              <a:prstDash val="solid"/>
            </a:ln>
          </c:spPr>
          <c:marker>
            <c:symbol val="none"/>
          </c:marker>
          <c:cat>
            <c:strRef>
              <c:f>'По месяцам'!$D$5:$D$16</c:f>
              <c:strCache>
                <c:ptCount val="0"/>
              </c:strCache>
            </c:strRef>
          </c:cat>
          <c:val>
            <c:numRef>
              <c:f>'По месяцам'!$E$5:$E$16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Продукты</c:v>
          </c:tx>
          <c:spPr>
            <a:solidFill xmlns:a="http://schemas.openxmlformats.org/drawingml/2006/main">
              <a:srgbClr val="C38742"/>
            </a:solidFill>
            <a:ln xmlns:a="http://schemas.openxmlformats.org/drawingml/2006/main" w="19050">
              <a:solidFill>
                <a:srgbClr val="C38742"/>
              </a:solidFill>
              <a:prstDash val="solid"/>
            </a:ln>
          </c:spPr>
          <c:marker>
            <c:symbol val="none"/>
          </c:marker>
          <c:cat>
            <c:strRef>
              <c:f>'По месяцам'!$D$5:$D$16</c:f>
              <c:strCache>
                <c:ptCount val="0"/>
              </c:strCache>
            </c:strRef>
          </c:cat>
          <c:val>
            <c:numRef>
              <c:f>'По месяцам'!$F$5:$F$16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Товары для дома</c:v>
          </c:tx>
          <c:spPr>
            <a:solidFill xmlns:a="http://schemas.openxmlformats.org/drawingml/2006/main">
              <a:srgbClr val="6F8F65"/>
            </a:solidFill>
            <a:ln xmlns:a="http://schemas.openxmlformats.org/drawingml/2006/main" w="19050">
              <a:solidFill>
                <a:srgbClr val="6F8F65"/>
              </a:solidFill>
              <a:prstDash val="solid"/>
            </a:ln>
          </c:spPr>
          <c:marker>
            <c:symbol val="none"/>
          </c:marker>
          <c:cat>
            <c:strRef>
              <c:f>'По месяцам'!$D$5:$D$16</c:f>
              <c:strCache>
                <c:ptCount val="0"/>
              </c:strCache>
            </c:strRef>
          </c:cat>
          <c:val>
            <c:numRef>
              <c:f>'По месяцам'!$G$5:$G$16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Электроника</c:v>
          </c:tx>
          <c:spPr>
            <a:solidFill xmlns:a="http://schemas.openxmlformats.org/drawingml/2006/main">
              <a:srgbClr val="9E6F8F"/>
            </a:solidFill>
            <a:ln xmlns:a="http://schemas.openxmlformats.org/drawingml/2006/main" w="19050">
              <a:solidFill>
                <a:srgbClr val="9E6F8F"/>
              </a:solidFill>
              <a:prstDash val="solid"/>
            </a:ln>
          </c:spPr>
          <c:marker>
            <c:symbol val="none"/>
          </c:marker>
          <c:cat>
            <c:strRef>
              <c:f>'По месяцам'!$D$5:$D$16</c:f>
              <c:strCache>
                <c:ptCount val="0"/>
              </c:strCache>
            </c:strRef>
          </c:cat>
          <c:val>
            <c:numRef>
              <c:f>'По месяцам'!$H$5:$H$16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ba867855674079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322f5d195c46a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6f087b733546aa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18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95041a5e3547c5"/>
        </a:graphicData>
      </a:graphic>
    </xdr:graphicFrame>
    <xdr:clientData/>
  </xdr:twoCellAnchor>
</xdr:wsDr>
</file>

<file path=xl/pivotCache/_rels/pivotCacheDefinition1.xml.rels><?xml version='1.0' encoding='utf-8'?>
<Relationships xmlns="http://schemas.openxmlformats.org/package/2006/relationships"><Relationship Id="rIdRecords" Type="http://schemas.openxmlformats.org/officeDocument/2006/relationships/pivotCacheRecords" Target="pivotCacheRecords1.xml" /></Relationships>
</file>

<file path=xl/pivotCache/pivotCacheDefinition1.xml><?xml version="1.0" encoding="utf-8"?>
<x:pivotCacheDefinition xmlns:r="http://schemas.openxmlformats.org/officeDocument/2006/relationships" xmlns:x="http://schemas.openxmlformats.org/spreadsheetml/2006/main" r:id="rIdRecords" saveData="1" refreshOnLoad="1" createdVersion="5" refreshedVersion="5" minRefreshableVersion="3" recordCount="1200">
  <x:cacheSource type="worksheet">
    <x:worksheetSource name="SalesData"/>
  </x:cacheSource>
  <x:cacheFields>
    <x:cacheField name="OrderID">
      <x:sharedItems containsSemiMixedTypes="0" containsString="0" containsNumber="1" containsInteger="1" minValue="1" maxValue="1200" count="1200">
        <x:n v="53"/>
        <x:n v="255"/>
        <x:n v="517"/>
        <x:n v="570"/>
        <x:n v="1053"/>
        <x:n v="76"/>
        <x:n v="420"/>
        <x:n v="450"/>
        <x:n v="582"/>
        <x:n v="633"/>
        <x:n v="828"/>
        <x:n v="313"/>
        <x:n v="459"/>
        <x:n v="572"/>
        <x:n v="1133"/>
        <x:n v="60"/>
        <x:n v="67"/>
        <x:n v="172"/>
        <x:n v="349"/>
        <x:n v="692"/>
        <x:n v="107"/>
        <x:n v="1051"/>
        <x:n v="406"/>
        <x:n v="764"/>
        <x:n v="791"/>
        <x:n v="972"/>
        <x:n v="205"/>
        <x:n v="504"/>
        <x:n v="888"/>
        <x:n v="30"/>
        <x:n v="408"/>
        <x:n v="512"/>
        <x:n v="1099"/>
        <x:n v="263"/>
        <x:n v="357"/>
        <x:n v="366"/>
        <x:n v="546"/>
        <x:n v="732"/>
        <x:n v="951"/>
        <x:n v="1152"/>
        <x:n v="4"/>
        <x:n v="312"/>
        <x:n v="460"/>
        <x:n v="521"/>
        <x:n v="3"/>
        <x:n v="40"/>
        <x:n v="677"/>
        <x:n v="805"/>
        <x:n v="885"/>
        <x:n v="75"/>
        <x:n v="892"/>
        <x:n v="200"/>
        <x:n v="48"/>
        <x:n v="382"/>
        <x:n v="511"/>
        <x:n v="586"/>
        <x:n v="708"/>
        <x:n v="422"/>
        <x:n v="644"/>
        <x:n v="663"/>
        <x:n v="95"/>
        <x:n v="577"/>
        <x:n v="602"/>
        <x:n v="1004"/>
        <x:n v="212"/>
        <x:n v="446"/>
        <x:n v="743"/>
        <x:n v="1016"/>
        <x:n v="524"/>
        <x:n v="620"/>
        <x:n v="1143"/>
        <x:n v="1163"/>
        <x:n v="134"/>
        <x:n v="137"/>
        <x:n v="471"/>
        <x:n v="258"/>
        <x:n v="220"/>
        <x:n v="286"/>
        <x:n v="635"/>
        <x:n v="1106"/>
        <x:n v="301"/>
        <x:n v="510"/>
        <x:n v="615"/>
        <x:n v="690"/>
        <x:n v="21"/>
        <x:n v="905"/>
        <x:n v="35"/>
        <x:n v="623"/>
        <x:n v="759"/>
        <x:n v="87"/>
        <x:n v="88"/>
        <x:n v="519"/>
        <x:n v="691"/>
        <x:n v="857"/>
        <x:n v="1000"/>
        <x:n v="1035"/>
        <x:n v="487"/>
        <x:n v="1150"/>
        <x:n v="256"/>
        <x:n v="334"/>
        <x:n v="822"/>
        <x:n v="1060"/>
        <x:n v="1089"/>
        <x:n v="944"/>
        <x:n v="56"/>
        <x:n v="104"/>
        <x:n v="325"/>
        <x:n v="360"/>
        <x:n v="637"/>
        <x:n v="260"/>
        <x:n v="682"/>
        <x:n v="817"/>
        <x:n v="1105"/>
        <x:n v="399"/>
        <x:n v="534"/>
        <x:n v="766"/>
        <x:n v="947"/>
        <x:n v="1091"/>
        <x:n v="126"/>
        <x:n v="278"/>
        <x:n v="594"/>
        <x:n v="685"/>
        <x:n v="816"/>
        <x:n v="858"/>
        <x:n v="882"/>
        <x:n v="1061"/>
        <x:n v="77"/>
        <x:n v="169"/>
        <x:n v="179"/>
        <x:n v="575"/>
        <x:n v="765"/>
        <x:n v="871"/>
        <x:n v="123"/>
        <x:n v="639"/>
        <x:n v="752"/>
        <x:n v="753"/>
        <x:n v="948"/>
        <x:n v="1175"/>
        <x:n v="381"/>
        <x:n v="762"/>
        <x:n v="456"/>
        <x:n v="488"/>
        <x:n v="331"/>
        <x:n v="598"/>
        <x:n v="979"/>
        <x:n v="138"/>
        <x:n v="403"/>
        <x:n v="44"/>
        <x:n v="161"/>
        <x:n v="242"/>
        <x:n v="287"/>
        <x:n v="782"/>
        <x:n v="721"/>
        <x:n v="1140"/>
        <x:n v="827"/>
        <x:n v="1093"/>
        <x:n v="81"/>
        <x:n v="28"/>
        <x:n v="564"/>
        <x:n v="624"/>
        <x:n v="1118"/>
        <x:n v="165"/>
        <x:n v="699"/>
        <x:n v="881"/>
        <x:n v="1138"/>
        <x:n v="238"/>
        <x:n v="290"/>
        <x:n v="472"/>
        <x:n v="91"/>
        <x:n v="350"/>
        <x:n v="443"/>
        <x:n v="566"/>
        <x:n v="1156"/>
        <x:n v="16"/>
        <x:n v="431"/>
        <x:n v="280"/>
        <x:n v="1136"/>
        <x:n v="1190"/>
        <x:n v="844"/>
        <x:n v="1108"/>
        <x:n v="39"/>
        <x:n v="1086"/>
        <x:n v="1119"/>
        <x:n v="106"/>
        <x:n v="388"/>
        <x:n v="697"/>
        <x:n v="908"/>
        <x:n v="967"/>
        <x:n v="1100"/>
        <x:n v="317"/>
        <x:n v="665"/>
        <x:n v="723"/>
        <x:n v="345"/>
        <x:n v="603"/>
        <x:n v="1078"/>
        <x:n v="1126"/>
        <x:n v="1142"/>
        <x:n v="23"/>
        <x:n v="332"/>
        <x:n v="354"/>
        <x:n v="638"/>
        <x:n v="808"/>
        <x:n v="856"/>
        <x:n v="142"/>
        <x:n v="219"/>
        <x:n v="292"/>
        <x:n v="1065"/>
        <x:n v="747"/>
        <x:n v="218"/>
        <x:n v="221"/>
        <x:n v="333"/>
        <x:n v="378"/>
        <x:n v="458"/>
        <x:n v="1033"/>
        <x:n v="13"/>
        <x:n v="43"/>
        <x:n v="523"/>
        <x:n v="922"/>
        <x:n v="712"/>
        <x:n v="739"/>
        <x:n v="781"/>
        <x:n v="818"/>
        <x:n v="886"/>
        <x:n v="878"/>
        <x:n v="926"/>
        <x:n v="50"/>
        <x:n v="733"/>
        <x:n v="982"/>
        <x:n v="1052"/>
        <x:n v="146"/>
        <x:n v="656"/>
        <x:n v="1047"/>
        <x:n v="150"/>
        <x:n v="862"/>
        <x:n v="1010"/>
        <x:n v="883"/>
        <x:n v="562"/>
        <x:n v="630"/>
        <x:n v="1071"/>
        <x:n v="1072"/>
        <x:n v="1082"/>
        <x:n v="1185"/>
        <x:n v="452"/>
        <x:n v="618"/>
        <x:n v="891"/>
        <x:n v="1124"/>
        <x:n v="593"/>
        <x:n v="693"/>
        <x:n v="101"/>
        <x:n v="440"/>
        <x:n v="698"/>
        <x:n v="269"/>
        <x:n v="339"/>
        <x:n v="728"/>
        <x:n v="842"/>
        <x:n v="877"/>
        <x:n v="973"/>
        <x:n v="189"/>
        <x:n v="194"/>
        <x:n v="264"/>
        <x:n v="542"/>
        <x:n v="976"/>
        <x:n v="1073"/>
        <x:n v="29"/>
        <x:n v="576"/>
        <x:n v="771"/>
        <x:n v="953"/>
        <x:n v="969"/>
        <x:n v="358"/>
        <x:n v="478"/>
        <x:n v="742"/>
        <x:n v="424"/>
        <x:n v="720"/>
        <x:n v="826"/>
        <x:n v="149"/>
        <x:n v="1195"/>
        <x:n v="210"/>
        <x:n v="499"/>
        <x:n v="522"/>
        <x:n v="939"/>
        <x:n v="441"/>
        <x:n v="539"/>
        <x:n v="674"/>
        <x:n v="794"/>
        <x:n v="960"/>
        <x:n v="801"/>
        <x:n v="182"/>
        <x:n v="1096"/>
        <x:n v="581"/>
        <x:n v="616"/>
        <x:n v="839"/>
        <x:n v="310"/>
        <x:n v="533"/>
        <x:n v="920"/>
        <x:n v="962"/>
        <x:n v="1194"/>
        <x:n v="226"/>
        <x:n v="666"/>
        <x:n v="861"/>
        <x:n v="1"/>
        <x:n v="470"/>
        <x:n v="506"/>
        <x:n v="865"/>
        <x:n v="1170"/>
        <x:n v="15"/>
        <x:n v="897"/>
        <x:n v="1159"/>
        <x:n v="259"/>
        <x:n v="281"/>
        <x:n v="719"/>
        <x:n v="812"/>
        <x:n v="929"/>
        <x:n v="99"/>
        <x:n v="298"/>
        <x:n v="834"/>
        <x:n v="903"/>
        <x:n v="599"/>
        <x:n v="755"/>
        <x:n v="7"/>
        <x:n v="156"/>
        <x:n v="376"/>
        <x:n v="640"/>
        <x:n v="740"/>
        <x:n v="274"/>
        <x:n v="777"/>
        <x:n v="825"/>
        <x:n v="1101"/>
        <x:n v="24"/>
        <x:n v="211"/>
        <x:n v="556"/>
        <x:n v="437"/>
        <x:n v="591"/>
        <x:n v="686"/>
        <x:n v="853"/>
        <x:n v="1200"/>
        <x:n v="710"/>
        <x:n v="830"/>
        <x:n v="933"/>
        <x:n v="940"/>
        <x:n v="1137"/>
        <x:n v="573"/>
        <x:n v="237"/>
        <x:n v="595"/>
        <x:n v="654"/>
        <x:n v="792"/>
        <x:n v="893"/>
        <x:n v="464"/>
        <x:n v="467"/>
        <x:n v="802"/>
        <x:n v="814"/>
        <x:n v="993"/>
        <x:n v="86"/>
        <x:n v="140"/>
        <x:n v="250"/>
        <x:n v="295"/>
        <x:n v="919"/>
        <x:n v="1032"/>
        <x:n v="1196"/>
        <x:n v="197"/>
        <x:n v="775"/>
        <x:n v="118"/>
        <x:n v="268"/>
        <x:n v="622"/>
        <x:n v="864"/>
        <x:n v="915"/>
        <x:n v="1084"/>
        <x:n v="485"/>
        <x:n v="230"/>
        <x:n v="365"/>
        <x:n v="1128"/>
        <x:n v="68"/>
        <x:n v="113"/>
        <x:n v="436"/>
        <x:n v="931"/>
        <x:n v="1087"/>
        <x:n v="103"/>
        <x:n v="173"/>
        <x:n v="343"/>
        <x:n v="395"/>
        <x:n v="1113"/>
        <x:n v="804"/>
        <x:n v="94"/>
        <x:n v="167"/>
        <x:n v="261"/>
        <x:n v="371"/>
        <x:n v="448"/>
        <x:n v="605"/>
        <x:n v="998"/>
        <x:n v="1135"/>
        <x:n v="1199"/>
        <x:n v="583"/>
        <x:n v="614"/>
        <x:n v="625"/>
        <x:n v="1167"/>
        <x:n v="413"/>
        <x:n v="889"/>
        <x:n v="1045"/>
        <x:n v="384"/>
        <x:n v="1028"/>
        <x:n v="320"/>
        <x:n v="109"/>
        <x:n v="859"/>
        <x:n v="246"/>
        <x:n v="558"/>
        <x:n v="824"/>
        <x:n v="1009"/>
        <x:n v="1181"/>
        <x:n v="257"/>
        <x:n v="799"/>
        <x:n v="289"/>
        <x:n v="389"/>
        <x:n v="778"/>
        <x:n v="1146"/>
        <x:n v="5"/>
        <x:n v="1079"/>
        <x:n v="1174"/>
        <x:n v="8"/>
        <x:n v="119"/>
        <x:n v="748"/>
        <x:n v="1148"/>
        <x:n v="217"/>
        <x:n v="319"/>
        <x:n v="131"/>
        <x:n v="148"/>
        <x:n v="71"/>
        <x:n v="241"/>
        <x:n v="914"/>
        <x:n v="997"/>
        <x:n v="520"/>
        <x:n v="774"/>
        <x:n v="994"/>
        <x:n v="1055"/>
        <x:n v="324"/>
        <x:n v="468"/>
        <x:n v="813"/>
        <x:n v="741"/>
        <x:n v="975"/>
        <x:n v="1039"/>
        <x:n v="80"/>
        <x:n v="453"/>
        <x:n v="549"/>
        <x:n v="646"/>
        <x:n v="923"/>
        <x:n v="952"/>
        <x:n v="984"/>
        <x:n v="190"/>
        <x:n v="199"/>
        <x:n v="224"/>
        <x:n v="530"/>
        <x:n v="559"/>
        <x:n v="673"/>
        <x:n v="758"/>
        <x:n v="208"/>
        <x:n v="223"/>
        <x:n v="412"/>
        <x:n v="432"/>
        <x:n v="46"/>
        <x:n v="235"/>
        <x:n v="355"/>
        <x:n v="166"/>
        <x:n v="267"/>
        <x:n v="547"/>
        <x:n v="789"/>
        <x:n v="1070"/>
        <x:n v="1083"/>
        <x:n v="768"/>
        <x:n v="65"/>
        <x:n v="484"/>
        <x:n v="832"/>
        <x:n v="449"/>
        <x:n v="705"/>
        <x:n v="641"/>
        <x:n v="1059"/>
        <x:n v="1063"/>
        <x:n v="711"/>
        <x:n v="779"/>
        <x:n v="815"/>
        <x:n v="346"/>
        <x:n v="896"/>
        <x:n v="1186"/>
        <x:n v="14"/>
        <x:n v="297"/>
        <x:n v="130"/>
        <x:n v="544"/>
        <x:n v="680"/>
        <x:n v="724"/>
        <x:n v="1168"/>
        <x:n v="171"/>
        <x:n v="214"/>
        <x:n v="299"/>
        <x:n v="726"/>
        <x:n v="793"/>
        <x:n v="390"/>
        <x:n v="769"/>
        <x:n v="1066"/>
        <x:n v="1094"/>
        <x:n v="69"/>
        <x:n v="500"/>
        <x:n v="561"/>
        <x:n v="584"/>
        <x:n v="1015"/>
        <x:n v="1027"/>
        <x:n v="164"/>
        <x:n v="372"/>
        <x:n v="1022"/>
        <x:n v="70"/>
        <x:n v="209"/>
        <x:n v="302"/>
        <x:n v="529"/>
        <x:n v="647"/>
        <x:n v="744"/>
        <x:n v="139"/>
        <x:n v="347"/>
        <x:n v="469"/>
        <x:n v="773"/>
        <x:n v="852"/>
        <x:n v="854"/>
        <x:n v="924"/>
        <x:n v="992"/>
        <x:n v="396"/>
        <x:n v="1012"/>
        <x:n v="63"/>
        <x:n v="483"/>
        <x:n v="557"/>
        <x:n v="651"/>
        <x:n v="127"/>
        <x:n v="128"/>
        <x:n v="571"/>
        <x:n v="342"/>
        <x:n v="606"/>
        <x:n v="725"/>
        <x:n v="887"/>
        <x:n v="1132"/>
        <x:n v="537"/>
        <x:n v="181"/>
        <x:n v="925"/>
        <x:n v="85"/>
        <x:n v="176"/>
        <x:n v="9"/>
        <x:n v="636"/>
        <x:n v="797"/>
        <x:n v="988"/>
        <x:n v="400"/>
        <x:n v="703"/>
        <x:n v="989"/>
        <x:n v="359"/>
        <x:n v="415"/>
        <x:n v="438"/>
        <x:n v="936"/>
        <x:n v="1064"/>
        <x:n v="780"/>
        <x:n v="932"/>
        <x:n v="652"/>
        <x:n v="811"/>
        <x:n v="1147"/>
        <x:n v="860"/>
        <x:n v="541"/>
        <x:n v="31"/>
        <x:n v="116"/>
        <x:n v="174"/>
        <x:n v="418"/>
        <x:n v="509"/>
        <x:n v="855"/>
        <x:n v="328"/>
        <x:n v="722"/>
        <x:n v="72"/>
        <x:n v="387"/>
        <x:n v="627"/>
        <x:n v="763"/>
        <x:n v="1062"/>
        <x:n v="232"/>
        <x:n v="540"/>
        <x:n v="57"/>
        <x:n v="59"/>
        <x:n v="222"/>
        <x:n v="303"/>
        <x:n v="454"/>
        <x:n v="718"/>
        <x:n v="22"/>
        <x:n v="34"/>
        <x:n v="36"/>
        <x:n v="784"/>
        <x:n v="227"/>
        <x:n v="653"/>
        <x:n v="52"/>
        <x:n v="419"/>
        <x:n v="1173"/>
        <x:n v="98"/>
        <x:n v="337"/>
        <x:n v="526"/>
        <x:n v="180"/>
        <x:n v="414"/>
        <x:n v="502"/>
        <x:n v="709"/>
        <x:n v="820"/>
        <x:n v="950"/>
        <x:n v="1090"/>
        <x:n v="314"/>
        <x:n v="657"/>
        <x:n v="909"/>
        <x:n v="1007"/>
        <x:n v="683"/>
        <x:n v="1048"/>
        <x:n v="1182"/>
        <x:n v="84"/>
        <x:n v="619"/>
        <x:n v="2"/>
        <x:n v="425"/>
        <x:n v="800"/>
        <x:n v="866"/>
        <x:n v="1155"/>
        <x:n v="1080"/>
        <x:n v="196"/>
        <x:n v="391"/>
        <x:n v="41"/>
        <x:n v="578"/>
        <x:n v="999"/>
        <x:n v="78"/>
        <x:n v="89"/>
        <x:n v="239"/>
        <x:n v="990"/>
        <x:n v="124"/>
        <x:n v="336"/>
        <x:n v="580"/>
        <x:n v="880"/>
        <x:n v="12"/>
        <x:n v="907"/>
        <x:n v="1088"/>
        <x:n v="1172"/>
        <x:n v="152"/>
        <x:n v="738"/>
        <x:n v="807"/>
        <x:n v="341"/>
        <x:n v="869"/>
        <x:n v="906"/>
        <x:n v="1074"/>
        <x:n v="515"/>
        <x:n v="735"/>
        <x:n v="25"/>
        <x:n v="38"/>
        <x:n v="970"/>
        <x:n v="1067"/>
        <x:n v="265"/>
        <x:n v="309"/>
        <x:n v="977"/>
        <x:n v="1103"/>
        <x:n v="442"/>
        <x:n v="592"/>
        <x:n v="938"/>
        <x:n v="1141"/>
        <x:n v="115"/>
        <x:n v="191"/>
        <x:n v="393"/>
        <x:n v="249"/>
        <x:n v="508"/>
        <x:n v="1043"/>
        <x:n v="1180"/>
        <x:n v="158"/>
        <x:n v="477"/>
        <x:n v="899"/>
        <x:n v="927"/>
        <x:n v="1104"/>
        <x:n v="170"/>
        <x:n v="943"/>
        <x:n v="957"/>
        <x:n v="1069"/>
        <x:n v="841"/>
        <x:n v="279"/>
        <x:n v="480"/>
        <x:n v="110"/>
        <x:n v="688"/>
        <x:n v="917"/>
        <x:n v="352"/>
        <x:n v="481"/>
        <x:n v="643"/>
        <x:n v="730"/>
        <x:n v="949"/>
        <x:n v="695"/>
        <x:n v="668"/>
        <x:n v="868"/>
        <x:n v="216"/>
        <x:n v="536"/>
        <x:n v="1145"/>
        <x:n v="294"/>
        <x:n v="351"/>
        <x:n v="538"/>
        <x:n v="966"/>
        <x:n v="985"/>
        <x:n v="772"/>
        <x:n v="66"/>
        <x:n v="548"/>
        <x:n v="601"/>
        <x:n v="750"/>
        <x:n v="836"/>
        <x:n v="147"/>
        <x:n v="433"/>
        <x:n v="981"/>
        <x:n v="1129"/>
        <x:n v="790"/>
        <x:n v="911"/>
        <x:n v="1068"/>
        <x:n v="154"/>
        <x:n v="159"/>
        <x:n v="473"/>
        <x:n v="545"/>
        <x:n v="898"/>
        <x:n v="1171"/>
        <x:n v="283"/>
        <x:n v="369"/>
        <x:n v="565"/>
        <x:n v="786"/>
        <x:n v="963"/>
        <x:n v="491"/>
        <x:n v="590"/>
        <x:n v="671"/>
        <x:n v="968"/>
        <x:n v="1031"/>
        <x:n v="55"/>
        <x:n v="607"/>
        <x:n v="863"/>
        <x:n v="876"/>
        <x:n v="326"/>
        <x:n v="475"/>
        <x:n v="918"/>
        <x:n v="996"/>
        <x:n v="353"/>
        <x:n v="528"/>
        <x:n v="974"/>
        <x:n v="1120"/>
        <x:n v="965"/>
        <x:n v="978"/>
        <x:n v="253"/>
        <x:n v="405"/>
        <x:n v="125"/>
        <x:n v="323"/>
        <x:n v="117"/>
        <x:n v="168"/>
        <x:n v="329"/>
        <x:n v="563"/>
        <x:n v="402"/>
        <x:n v="486"/>
        <x:n v="37"/>
        <x:n v="47"/>
        <x:n v="236"/>
        <x:n v="626"/>
        <x:n v="669"/>
        <x:n v="776"/>
        <x:n v="941"/>
        <x:n v="434"/>
        <x:n v="73"/>
        <x:n v="363"/>
        <x:n v="184"/>
        <x:n v="474"/>
        <x:n v="145"/>
        <x:n v="585"/>
        <x:n v="696"/>
        <x:n v="921"/>
        <x:n v="54"/>
        <x:n v="783"/>
        <x:n v="1081"/>
        <x:n v="1189"/>
        <x:n v="795"/>
        <x:n v="1097"/>
        <x:n v="42"/>
        <x:n v="288"/>
        <x:n v="945"/>
        <x:n v="1111"/>
        <x:n v="318"/>
        <x:n v="362"/>
        <x:n v="367"/>
        <x:n v="964"/>
        <x:n v="240"/>
        <x:n v="1164"/>
        <x:n v="514"/>
        <x:n v="632"/>
        <x:n v="798"/>
        <x:n v="847"/>
        <x:n v="879"/>
        <x:n v="902"/>
        <x:n v="916"/>
        <x:n v="62"/>
        <x:n v="215"/>
        <x:n v="293"/>
        <x:n v="344"/>
        <x:n v="1131"/>
        <x:n v="1149"/>
        <x:n v="1176"/>
        <x:n v="105"/>
        <x:n v="155"/>
        <x:n v="476"/>
        <x:n v="787"/>
        <x:n v="20"/>
        <x:n v="617"/>
        <x:n v="1160"/>
        <x:n v="1193"/>
        <x:n v="32"/>
        <x:n v="177"/>
        <x:n v="411"/>
        <x:n v="610"/>
        <x:n v="837"/>
        <x:n v="1165"/>
        <x:n v="1166"/>
        <x:n v="407"/>
        <x:n v="987"/>
        <x:n v="1092"/>
        <x:n v="175"/>
        <x:n v="305"/>
        <x:n v="315"/>
        <x:n v="335"/>
        <x:n v="495"/>
        <x:n v="144"/>
        <x:n v="1006"/>
        <x:n v="93"/>
        <x:n v="757"/>
        <x:n v="135"/>
        <x:n v="1046"/>
        <x:n v="1109"/>
        <x:n v="311"/>
        <x:n v="370"/>
        <x:n v="819"/>
        <x:n v="1144"/>
        <x:n v="143"/>
        <x:n v="946"/>
        <x:n v="1038"/>
        <x:n v="1122"/>
        <x:n v="1130"/>
        <x:n v="1158"/>
        <x:n v="188"/>
        <x:n v="700"/>
        <x:n v="163"/>
        <x:n v="785"/>
        <x:n v="955"/>
        <x:n v="195"/>
        <x:n v="213"/>
        <x:n v="374"/>
        <x:n v="386"/>
        <x:n v="835"/>
        <x:n v="1036"/>
        <x:n v="1041"/>
        <x:n v="1139"/>
        <x:n v="806"/>
        <x:n v="912"/>
        <x:n v="1095"/>
        <x:n v="727"/>
        <x:n v="1115"/>
        <x:n v="272"/>
        <x:n v="429"/>
        <x:n v="980"/>
        <x:n v="1198"/>
        <x:n v="649"/>
        <x:n v="900"/>
        <x:n v="910"/>
        <x:n v="132"/>
        <x:n v="248"/>
        <x:n v="304"/>
        <x:n v="416"/>
        <x:n v="392"/>
        <x:n v="788"/>
        <x:n v="1187"/>
        <x:n v="531"/>
        <x:n v="659"/>
        <x:n v="734"/>
        <x:n v="745"/>
        <x:n v="1112"/>
        <x:n v="457"/>
        <x:n v="667"/>
        <x:n v="823"/>
        <x:n v="300"/>
        <x:n v="463"/>
        <x:n v="612"/>
        <x:n v="1154"/>
        <x:n v="1192"/>
        <x:n v="129"/>
        <x:n v="296"/>
        <x:n v="959"/>
        <x:n v="33"/>
        <x:n v="385"/>
        <x:n v="609"/>
        <x:n v="655"/>
        <x:n v="687"/>
        <x:n v="1050"/>
        <x:n v="275"/>
        <x:n v="455"/>
        <x:n v="991"/>
        <x:n v="19"/>
        <x:n v="27"/>
        <x:n v="185"/>
        <x:n v="273"/>
        <x:n v="934"/>
        <x:n v="186"/>
        <x:n v="532"/>
        <x:n v="18"/>
        <x:n v="141"/>
        <x:n v="560"/>
        <x:n v="1034"/>
        <x:n v="1178"/>
        <x:n v="100"/>
        <x:n v="1030"/>
        <x:n v="133"/>
        <x:n v="567"/>
        <x:n v="661"/>
        <x:n v="707"/>
        <x:n v="1123"/>
        <x:n v="1169"/>
        <x:n v="114"/>
        <x:n v="662"/>
        <x:n v="715"/>
        <x:n v="954"/>
        <x:n v="986"/>
        <x:n v="307"/>
        <x:n v="518"/>
        <x:n v="746"/>
        <x:n v="306"/>
        <x:n v="338"/>
        <x:n v="356"/>
        <x:n v="462"/>
        <x:n v="494"/>
        <x:n v="507"/>
        <x:n v="736"/>
        <x:n v="251"/>
        <x:n v="600"/>
        <x:n v="676"/>
        <x:n v="843"/>
        <x:n v="895"/>
        <x:n v="465"/>
        <x:n v="516"/>
        <x:n v="579"/>
        <x:n v="809"/>
        <x:n v="160"/>
        <x:n v="233"/>
        <x:n v="1020"/>
        <x:n v="51"/>
        <x:n v="61"/>
        <x:n v="846"/>
        <x:n v="1161"/>
        <x:n v="713"/>
        <x:n v="717"/>
        <x:n v="971"/>
        <x:n v="1025"/>
        <x:n v="1085"/>
        <x:n v="704"/>
        <x:n v="803"/>
        <x:n v="229"/>
        <x:n v="368"/>
        <x:n v="74"/>
        <x:n v="206"/>
        <x:n v="373"/>
        <x:n v="404"/>
        <x:n v="497"/>
        <x:n v="574"/>
        <x:n v="178"/>
        <x:n v="555"/>
        <x:n v="756"/>
        <x:n v="829"/>
        <x:n v="277"/>
        <x:n v="153"/>
        <x:n v="121"/>
        <x:n v="207"/>
        <x:n v="1107"/>
        <x:n v="1188"/>
        <x:n v="380"/>
        <x:n v="427"/>
        <x:n v="505"/>
        <x:n v="628"/>
        <x:n v="1002"/>
        <x:n v="1153"/>
        <x:n v="247"/>
        <x:n v="489"/>
        <x:n v="568"/>
        <x:n v="645"/>
        <x:n v="136"/>
        <x:n v="421"/>
        <x:n v="552"/>
        <x:n v="658"/>
        <x:n v="1044"/>
        <x:n v="1116"/>
        <x:n v="90"/>
        <x:n v="204"/>
        <x:n v="108"/>
        <x:n v="231"/>
        <x:n v="383"/>
        <x:n v="706"/>
        <x:n v="96"/>
        <x:n v="151"/>
        <x:n v="244"/>
        <x:n v="428"/>
        <x:n v="597"/>
        <x:n v="493"/>
        <x:n v="833"/>
        <x:n v="1058"/>
        <x:n v="1121"/>
        <x:n v="6"/>
        <x:n v="201"/>
        <x:n v="445"/>
        <x:n v="767"/>
        <x:n v="1098"/>
        <x:n v="840"/>
        <x:n v="1023"/>
        <x:n v="1026"/>
        <x:n v="102"/>
        <x:n v="198"/>
        <x:n v="672"/>
        <x:n v="1005"/>
        <x:n v="1077"/>
        <x:n v="111"/>
        <x:n v="398"/>
        <x:n v="525"/>
        <x:n v="587"/>
        <x:n v="942"/>
        <x:n v="1018"/>
        <x:n v="1024"/>
        <x:n v="479"/>
        <x:n v="849"/>
        <x:n v="904"/>
        <x:n v="1117"/>
        <x:n v="262"/>
        <x:n v="1184"/>
        <x:n v="361"/>
        <x:n v="848"/>
        <x:n v="228"/>
        <x:n v="702"/>
        <x:n v="79"/>
        <x:n v="1008"/>
        <x:n v="1056"/>
        <x:n v="611"/>
        <x:n v="831"/>
        <x:n v="364"/>
        <x:n v="527"/>
        <x:n v="664"/>
        <x:n v="675"/>
        <x:n v="689"/>
        <x:n v="1014"/>
        <x:n v="629"/>
        <x:n v="995"/>
        <x:n v="1011"/>
        <x:n v="82"/>
        <x:n v="589"/>
        <x:n v="749"/>
        <x:n v="845"/>
        <x:n v="192"/>
        <x:n v="1049"/>
        <x:n v="83"/>
        <x:n v="183"/>
        <x:n v="245"/>
        <x:n v="308"/>
        <x:n v="447"/>
        <x:n v="466"/>
        <x:n v="937"/>
        <x:n v="810"/>
        <x:n v="97"/>
        <x:n v="202"/>
        <x:n v="543"/>
        <x:n v="187"/>
        <x:n v="322"/>
        <x:n v="426"/>
        <x:n v="678"/>
        <x:n v="1042"/>
        <x:n v="1197"/>
        <x:n v="64"/>
        <x:n v="330"/>
        <x:n v="684"/>
        <x:n v="716"/>
        <x:n v="243"/>
        <x:n v="694"/>
        <x:n v="701"/>
        <x:n v="729"/>
        <x:n v="1037"/>
        <x:n v="1162"/>
        <x:n v="316"/>
        <x:n v="901"/>
        <x:n v="17"/>
        <x:n v="92"/>
        <x:n v="203"/>
        <x:n v="423"/>
        <x:n v="451"/>
        <x:n v="621"/>
        <x:n v="631"/>
        <x:n v="1003"/>
        <x:n v="1127"/>
        <x:n v="535"/>
        <x:n v="884"/>
        <x:n v="1017"/>
        <x:n v="1054"/>
        <x:n v="26"/>
        <x:n v="234"/>
        <x:n v="271"/>
        <x:n v="660"/>
        <x:n v="670"/>
        <x:n v="112"/>
        <x:n v="513"/>
        <x:n v="961"/>
        <x:n v="276"/>
        <x:n v="551"/>
        <x:n v="983"/>
        <x:n v="1114"/>
        <x:n v="375"/>
        <x:n v="496"/>
        <x:n v="613"/>
        <x:n v="1157"/>
        <x:n v="321"/>
        <x:n v="681"/>
        <x:n v="956"/>
        <x:n v="1001"/>
        <x:n v="604"/>
        <x:n v="430"/>
        <x:n v="714"/>
        <x:n v="850"/>
        <x:n v="1040"/>
        <x:n v="162"/>
        <x:n v="270"/>
        <x:n v="417"/>
        <x:n v="444"/>
        <x:n v="225"/>
        <x:n v="327"/>
        <x:n v="913"/>
        <x:n v="1057"/>
        <x:n v="1134"/>
        <x:n v="45"/>
        <x:n v="120"/>
        <x:n v="340"/>
        <x:n v="1019"/>
        <x:n v="1183"/>
        <x:n v="1076"/>
        <x:n v="157"/>
        <x:n v="439"/>
        <x:n v="588"/>
        <x:n v="642"/>
        <x:n v="760"/>
        <x:n v="796"/>
        <x:n v="49"/>
        <x:n v="285"/>
        <x:n v="596"/>
        <x:n v="461"/>
        <x:n v="838"/>
        <x:n v="435"/>
        <x:n v="501"/>
        <x:n v="608"/>
        <x:n v="731"/>
        <x:n v="737"/>
        <x:n v="761"/>
        <x:n v="928"/>
        <x:n v="930"/>
        <x:n v="1110"/>
        <x:n v="282"/>
        <x:n v="503"/>
        <x:n v="569"/>
        <x:n v="648"/>
        <x:n v="377"/>
        <x:n v="409"/>
        <x:n v="873"/>
        <x:n v="1191"/>
        <x:n v="867"/>
        <x:n v="11"/>
        <x:n v="679"/>
        <x:n v="10"/>
        <x:n v="394"/>
        <x:n v="875"/>
        <x:n v="1075"/>
        <x:n v="1102"/>
        <x:n v="58"/>
        <x:n v="193"/>
        <x:n v="254"/>
        <x:n v="935"/>
        <x:n v="1013"/>
        <x:n v="284"/>
        <x:n v="379"/>
        <x:n v="754"/>
        <x:n v="266"/>
        <x:n v="410"/>
        <x:n v="751"/>
        <x:n v="1125"/>
        <x:n v="1179"/>
        <x:n v="291"/>
        <x:n v="492"/>
        <x:n v="770"/>
        <x:n v="550"/>
        <x:n v="958"/>
        <x:n v="1021"/>
        <x:n v="553"/>
        <x:n v="1177"/>
        <x:n v="122"/>
        <x:n v="397"/>
        <x:n v="870"/>
        <x:n v="894"/>
        <x:n v="498"/>
        <x:n v="650"/>
        <x:n v="872"/>
        <x:n v="874"/>
        <x:n v="1029"/>
        <x:n v="348"/>
        <x:n v="401"/>
        <x:n v="554"/>
        <x:n v="252"/>
        <x:n v="482"/>
        <x:n v="634"/>
        <x:n v="1151"/>
        <x:n v="490"/>
        <x:n v="821"/>
        <x:n v="851"/>
        <x:n v="890"/>
      </x:sharedItems>
    </x:cacheField>
    <x:cacheField name="Date">
      <x:sharedItems containsSemiMixedTypes="0" containsNonDate="0" containsDate="1" containsString="0" minDate="2023-01-01T00:00:00" maxDate="2023-12-31T00:00:00" count="348">
        <x:d v="2023-01-01T00:00:00"/>
        <x:d v="2023-01-02T00:00:00"/>
        <x:d v="2023-01-04T00:00:00"/>
        <x:d v="2023-01-05T00:00:00"/>
        <x:d v="2023-01-06T00:00:00"/>
        <x:d v="2023-01-07T00:00:00"/>
        <x:d v="2023-01-08T00:00:00"/>
        <x:d v="2023-01-09T00:00:00"/>
        <x:d v="2023-01-10T00:00:00"/>
        <x:d v="2023-01-11T00:00:00"/>
        <x:d v="2023-01-12T00:00:00"/>
        <x:d v="2023-01-13T00:00:00"/>
        <x:d v="2023-01-14T00:00:00"/>
        <x:d v="2023-01-15T00:00:00"/>
        <x:d v="2023-01-16T00:00:00"/>
        <x:d v="2023-01-17T00:00:00"/>
        <x:d v="2023-01-18T00:00:00"/>
        <x:d v="2023-01-19T00:00:00"/>
        <x:d v="2023-01-21T00:00:00"/>
        <x:d v="2023-01-22T00:00:00"/>
        <x:d v="2023-01-23T00:00:00"/>
        <x:d v="2023-01-24T00:00:00"/>
        <x:d v="2023-01-25T00:00:00"/>
        <x:d v="2023-01-26T00:00:00"/>
        <x:d v="2023-01-27T00:00:00"/>
        <x:d v="2023-01-29T00:00:00"/>
        <x:d v="2023-01-30T00:00:00"/>
        <x:d v="2023-01-31T00:00:00"/>
        <x:d v="2023-02-01T00:00:00"/>
        <x:d v="2023-02-02T00:00:00"/>
        <x:d v="2023-02-03T00:00:00"/>
        <x:d v="2023-02-04T00:00:00"/>
        <x:d v="2023-02-05T00:00:00"/>
        <x:d v="2023-02-06T00:00:00"/>
        <x:d v="2023-02-07T00:00:00"/>
        <x:d v="2023-02-08T00:00:00"/>
        <x:d v="2023-02-09T00:00:00"/>
        <x:d v="2023-02-10T00:00:00"/>
        <x:d v="2023-02-11T00:00:00"/>
        <x:d v="2023-02-12T00:00:00"/>
        <x:d v="2023-02-13T00:00:00"/>
        <x:d v="2023-02-14T00:00:00"/>
        <x:d v="2023-02-15T00:00:00"/>
        <x:d v="2023-02-16T00:00:00"/>
        <x:d v="2023-02-17T00:00:00"/>
        <x:d v="2023-02-18T00:00:00"/>
        <x:d v="2023-02-20T00:00:00"/>
        <x:d v="2023-02-21T00:00:00"/>
        <x:d v="2023-02-23T00:00:00"/>
        <x:d v="2023-02-24T00:00:00"/>
        <x:d v="2023-02-25T00:00:00"/>
        <x:d v="2023-02-26T00:00:00"/>
        <x:d v="2023-02-27T00:00:00"/>
        <x:d v="2023-02-28T00:00:00"/>
        <x:d v="2023-03-02T00:00:00"/>
        <x:d v="2023-03-03T00:00:00"/>
        <x:d v="2023-03-04T00:00:00"/>
        <x:d v="2023-03-05T00:00:00"/>
        <x:d v="2023-03-06T00:00:00"/>
        <x:d v="2023-03-07T00:00:00"/>
        <x:d v="2023-03-08T00:00:00"/>
        <x:d v="2023-03-09T00:00:00"/>
        <x:d v="2023-03-10T00:00:00"/>
        <x:d v="2023-03-11T00:00:00"/>
        <x:d v="2023-03-12T00:00:00"/>
        <x:d v="2023-03-13T00:00:00"/>
        <x:d v="2023-03-14T00:00:00"/>
        <x:d v="2023-03-15T00:00:00"/>
        <x:d v="2023-03-17T00:00:00"/>
        <x:d v="2023-03-18T00:00:00"/>
        <x:d v="2023-03-19T00:00:00"/>
        <x:d v="2023-03-20T00:00:00"/>
        <x:d v="2023-03-22T00:00:00"/>
        <x:d v="2023-03-23T00:00:00"/>
        <x:d v="2023-03-24T00:00:00"/>
        <x:d v="2023-03-26T00:00:00"/>
        <x:d v="2023-03-27T00:00:00"/>
        <x:d v="2023-03-28T00:00:00"/>
        <x:d v="2023-03-29T00:00:00"/>
        <x:d v="2023-03-30T00:00:00"/>
        <x:d v="2023-03-31T00:00:00"/>
        <x:d v="2023-04-01T00:00:00"/>
        <x:d v="2023-04-02T00:00:00"/>
        <x:d v="2023-04-03T00:00:00"/>
        <x:d v="2023-04-04T00:00:00"/>
        <x:d v="2023-04-05T00:00:00"/>
        <x:d v="2023-04-06T00:00:00"/>
        <x:d v="2023-04-07T00:00:00"/>
        <x:d v="2023-04-08T00:00:00"/>
        <x:d v="2023-04-09T00:00:00"/>
        <x:d v="2023-04-10T00:00:00"/>
        <x:d v="2023-04-11T00:00:00"/>
        <x:d v="2023-04-12T00:00:00"/>
        <x:d v="2023-04-13T00:00:00"/>
        <x:d v="2023-04-14T00:00:00"/>
        <x:d v="2023-04-15T00:00:00"/>
        <x:d v="2023-04-16T00:00:00"/>
        <x:d v="2023-04-17T00:00:00"/>
        <x:d v="2023-04-18T00:00:00"/>
        <x:d v="2023-04-19T00:00:00"/>
        <x:d v="2023-04-20T00:00:00"/>
        <x:d v="2023-04-21T00:00:00"/>
        <x:d v="2023-04-22T00:00:00"/>
        <x:d v="2023-04-23T00:00:00"/>
        <x:d v="2023-04-24T00:00:00"/>
        <x:d v="2023-04-25T00:00:00"/>
        <x:d v="2023-04-26T00:00:00"/>
        <x:d v="2023-04-27T00:00:00"/>
        <x:d v="2023-04-28T00:00:00"/>
        <x:d v="2023-04-29T00:00:00"/>
        <x:d v="2023-04-30T00:00:00"/>
        <x:d v="2023-05-01T00:00:00"/>
        <x:d v="2023-05-02T00:00:00"/>
        <x:d v="2023-05-03T00:00:00"/>
        <x:d v="2023-05-05T00:00:00"/>
        <x:d v="2023-05-06T00:00:00"/>
        <x:d v="2023-05-07T00:00:00"/>
        <x:d v="2023-05-08T00:00:00"/>
        <x:d v="2023-05-09T00:00:00"/>
        <x:d v="2023-05-10T00:00:00"/>
        <x:d v="2023-05-11T00:00:00"/>
        <x:d v="2023-05-12T00:00:00"/>
        <x:d v="2023-05-13T00:00:00"/>
        <x:d v="2023-05-14T00:00:00"/>
        <x:d v="2023-05-15T00:00:00"/>
        <x:d v="2023-05-16T00:00:00"/>
        <x:d v="2023-05-17T00:00:00"/>
        <x:d v="2023-05-18T00:00:00"/>
        <x:d v="2023-05-19T00:00:00"/>
        <x:d v="2023-05-20T00:00:00"/>
        <x:d v="2023-05-21T00:00:00"/>
        <x:d v="2023-05-22T00:00:00"/>
        <x:d v="2023-05-23T00:00:00"/>
        <x:d v="2023-05-24T00:00:00"/>
        <x:d v="2023-05-25T00:00:00"/>
        <x:d v="2023-05-26T00:00:00"/>
        <x:d v="2023-05-27T00:00:00"/>
        <x:d v="2023-05-28T00:00:00"/>
        <x:d v="2023-05-29T00:00:00"/>
        <x:d v="2023-05-30T00:00:00"/>
        <x:d v="2023-05-31T00:00:00"/>
        <x:d v="2023-06-01T00:00:00"/>
        <x:d v="2023-06-02T00:00:00"/>
        <x:d v="2023-06-03T00:00:00"/>
        <x:d v="2023-06-04T00:00:00"/>
        <x:d v="2023-06-05T00:00:00"/>
        <x:d v="2023-06-06T00:00:00"/>
        <x:d v="2023-06-07T00:00:00"/>
        <x:d v="2023-06-08T00:00:00"/>
        <x:d v="2023-06-10T00:00:00"/>
        <x:d v="2023-06-11T00:00:00"/>
        <x:d v="2023-06-12T00:00:00"/>
        <x:d v="2023-06-13T00:00:00"/>
        <x:d v="2023-06-15T00:00:00"/>
        <x:d v="2023-06-16T00:00:00"/>
        <x:d v="2023-06-17T00:00:00"/>
        <x:d v="2023-06-18T00:00:00"/>
        <x:d v="2023-06-19T00:00:00"/>
        <x:d v="2023-06-20T00:00:00"/>
        <x:d v="2023-06-21T00:00:00"/>
        <x:d v="2023-06-22T00:00:00"/>
        <x:d v="2023-06-23T00:00:00"/>
        <x:d v="2023-06-24T00:00:00"/>
        <x:d v="2023-06-25T00:00:00"/>
        <x:d v="2023-06-26T00:00:00"/>
        <x:d v="2023-06-27T00:00:00"/>
        <x:d v="2023-06-28T00:00:00"/>
        <x:d v="2023-06-29T00:00:00"/>
        <x:d v="2023-06-30T00:00:00"/>
        <x:d v="2023-07-01T00:00:00"/>
        <x:d v="2023-07-02T00:00:00"/>
        <x:d v="2023-07-03T00:00:00"/>
        <x:d v="2023-07-04T00:00:00"/>
        <x:d v="2023-07-05T00:00:00"/>
        <x:d v="2023-07-06T00:00:00"/>
        <x:d v="2023-07-07T00:00:00"/>
        <x:d v="2023-07-08T00:00:00"/>
        <x:d v="2023-07-09T00:00:00"/>
        <x:d v="2023-07-10T00:00:00"/>
        <x:d v="2023-07-11T00:00:00"/>
        <x:d v="2023-07-12T00:00:00"/>
        <x:d v="2023-07-13T00:00:00"/>
        <x:d v="2023-07-14T00:00:00"/>
        <x:d v="2023-07-15T00:00:00"/>
        <x:d v="2023-07-16T00:00:00"/>
        <x:d v="2023-07-17T00:00:00"/>
        <x:d v="2023-07-18T00:00:00"/>
        <x:d v="2023-07-19T00:00:00"/>
        <x:d v="2023-07-20T00:00:00"/>
        <x:d v="2023-07-21T00:00:00"/>
        <x:d v="2023-07-22T00:00:00"/>
        <x:d v="2023-07-23T00:00:00"/>
        <x:d v="2023-07-24T00:00:00"/>
        <x:d v="2023-07-25T00:00:00"/>
        <x:d v="2023-07-26T00:00:00"/>
        <x:d v="2023-07-27T00:00:00"/>
        <x:d v="2023-07-28T00:00:00"/>
        <x:d v="2023-07-29T00:00:00"/>
        <x:d v="2023-07-30T00:00:00"/>
        <x:d v="2023-07-31T00:00:00"/>
        <x:d v="2023-08-01T00:00:00"/>
        <x:d v="2023-08-02T00:00:00"/>
        <x:d v="2023-08-03T00:00:00"/>
        <x:d v="2023-08-04T00:00:00"/>
        <x:d v="2023-08-05T00:00:00"/>
        <x:d v="2023-08-06T00:00:00"/>
        <x:d v="2023-08-07T00:00:00"/>
        <x:d v="2023-08-08T00:00:00"/>
        <x:d v="2023-08-09T00:00:00"/>
        <x:d v="2023-08-10T00:00:00"/>
        <x:d v="2023-08-11T00:00:00"/>
        <x:d v="2023-08-12T00:00:00"/>
        <x:d v="2023-08-13T00:00:00"/>
        <x:d v="2023-08-14T00:00:00"/>
        <x:d v="2023-08-15T00:00:00"/>
        <x:d v="2023-08-16T00:00:00"/>
        <x:d v="2023-08-17T00:00:00"/>
        <x:d v="2023-08-18T00:00:00"/>
        <x:d v="2023-08-19T00:00:00"/>
        <x:d v="2023-08-20T00:00:00"/>
        <x:d v="2023-08-21T00:00:00"/>
        <x:d v="2023-08-22T00:00:00"/>
        <x:d v="2023-08-23T00:00:00"/>
        <x:d v="2023-08-24T00:00:00"/>
        <x:d v="2023-08-25T00:00:00"/>
        <x:d v="2023-08-26T00:00:00"/>
        <x:d v="2023-08-27T00:00:00"/>
        <x:d v="2023-08-28T00:00:00"/>
        <x:d v="2023-08-29T00:00:00"/>
        <x:d v="2023-08-30T00:00:00"/>
        <x:d v="2023-08-31T00:00:00"/>
        <x:d v="2023-09-01T00:00:00"/>
        <x:d v="2023-09-02T00:00:00"/>
        <x:d v="2023-09-03T00:00:00"/>
        <x:d v="2023-09-04T00:00:00"/>
        <x:d v="2023-09-05T00:00:00"/>
        <x:d v="2023-09-06T00:00:00"/>
        <x:d v="2023-09-08T00:00:00"/>
        <x:d v="2023-09-09T00:00:00"/>
        <x:d v="2023-09-10T00:00:00"/>
        <x:d v="2023-09-11T00:00:00"/>
        <x:d v="2023-09-12T00:00:00"/>
        <x:d v="2023-09-13T00:00:00"/>
        <x:d v="2023-09-14T00:00:00"/>
        <x:d v="2023-09-15T00:00:00"/>
        <x:d v="2023-09-17T00:00:00"/>
        <x:d v="2023-09-18T00:00:00"/>
        <x:d v="2023-09-19T00:00:00"/>
        <x:d v="2023-09-20T00:00:00"/>
        <x:d v="2023-09-21T00:00:00"/>
        <x:d v="2023-09-22T00:00:00"/>
        <x:d v="2023-09-23T00:00:00"/>
        <x:d v="2023-09-24T00:00:00"/>
        <x:d v="2023-09-25T00:00:00"/>
        <x:d v="2023-09-26T00:00:00"/>
        <x:d v="2023-09-27T00:00:00"/>
        <x:d v="2023-09-28T00:00:00"/>
        <x:d v="2023-09-29T00:00:00"/>
        <x:d v="2023-09-30T00:00:00"/>
        <x:d v="2023-10-01T00:00:00"/>
        <x:d v="2023-10-02T00:00:00"/>
        <x:d v="2023-10-03T00:00:00"/>
        <x:d v="2023-10-04T00:00:00"/>
        <x:d v="2023-10-05T00:00:00"/>
        <x:d v="2023-10-06T00:00:00"/>
        <x:d v="2023-10-07T00:00:00"/>
        <x:d v="2023-10-08T00:00:00"/>
        <x:d v="2023-10-09T00:00:00"/>
        <x:d v="2023-10-10T00:00:00"/>
        <x:d v="2023-10-11T00:00:00"/>
        <x:d v="2023-10-13T00:00:00"/>
        <x:d v="2023-10-14T00:00:00"/>
        <x:d v="2023-10-15T00:00:00"/>
        <x:d v="2023-10-16T00:00:00"/>
        <x:d v="2023-10-17T00:00:00"/>
        <x:d v="2023-10-18T00:00:00"/>
        <x:d v="2023-10-19T00:00:00"/>
        <x:d v="2023-10-20T00:00:00"/>
        <x:d v="2023-10-21T00:00:00"/>
        <x:d v="2023-10-22T00:00:00"/>
        <x:d v="2023-10-23T00:00:00"/>
        <x:d v="2023-10-25T00:00:00"/>
        <x:d v="2023-10-26T00:00:00"/>
        <x:d v="2023-10-27T00:00:00"/>
        <x:d v="2023-10-28T00:00:00"/>
        <x:d v="2023-10-29T00:00:00"/>
        <x:d v="2023-10-30T00:00:00"/>
        <x:d v="2023-10-31T00:00:00"/>
        <x:d v="2023-11-01T00:00:00"/>
        <x:d v="2023-11-02T00:00:00"/>
        <x:d v="2023-11-03T00:00:00"/>
        <x:d v="2023-11-04T00:00:00"/>
        <x:d v="2023-11-05T00:00:00"/>
        <x:d v="2023-11-06T00:00:00"/>
        <x:d v="2023-11-07T00:00:00"/>
        <x:d v="2023-11-08T00:00:00"/>
        <x:d v="2023-11-09T00:00:00"/>
        <x:d v="2023-11-10T00:00:00"/>
        <x:d v="2023-11-11T00:00:00"/>
        <x:d v="2023-11-12T00:00:00"/>
        <x:d v="2023-11-13T00:00:00"/>
        <x:d v="2023-11-14T00:00:00"/>
        <x:d v="2023-11-15T00:00:00"/>
        <x:d v="2023-11-16T00:00:00"/>
        <x:d v="2023-11-17T00:00:00"/>
        <x:d v="2023-11-18T00:00:00"/>
        <x:d v="2023-11-19T00:00:00"/>
        <x:d v="2023-11-20T00:00:00"/>
        <x:d v="2023-11-21T00:00:00"/>
        <x:d v="2023-11-22T00:00:00"/>
        <x:d v="2023-11-23T00:00:00"/>
        <x:d v="2023-11-24T00:00:00"/>
        <x:d v="2023-11-25T00:00:00"/>
        <x:d v="2023-11-26T00:00:00"/>
        <x:d v="2023-11-27T00:00:00"/>
        <x:d v="2023-11-28T00:00:00"/>
        <x:d v="2023-11-29T00:00:00"/>
        <x:d v="2023-11-30T00:00:00"/>
        <x:d v="2023-12-01T00:00:00"/>
        <x:d v="2023-12-02T00:00:00"/>
        <x:d v="2023-12-03T00:00:00"/>
        <x:d v="2023-12-04T00:00:00"/>
        <x:d v="2023-12-05T00:00:00"/>
        <x:d v="2023-12-06T00:00:00"/>
        <x:d v="2023-12-07T00:00:00"/>
        <x:d v="2023-12-08T00:00:00"/>
        <x:d v="2023-12-09T00:00:00"/>
        <x:d v="2023-12-10T00:00:00"/>
        <x:d v="2023-12-12T00:00:00"/>
        <x:d v="2023-12-13T00:00:00"/>
        <x:d v="2023-12-14T00:00:00"/>
        <x:d v="2023-12-15T00:00:00"/>
        <x:d v="2023-12-16T00:00:00"/>
        <x:d v="2023-12-17T00:00:00"/>
        <x:d v="2023-12-18T00:00:00"/>
        <x:d v="2023-12-19T00:00:00"/>
        <x:d v="2023-12-20T00:00:00"/>
        <x:d v="2023-12-21T00:00:00"/>
        <x:d v="2023-12-22T00:00:00"/>
        <x:d v="2023-12-23T00:00:00"/>
        <x:d v="2023-12-24T00:00:00"/>
        <x:d v="2023-12-25T00:00:00"/>
        <x:d v="2023-12-26T00:00:00"/>
        <x:d v="2023-12-27T00:00:00"/>
        <x:d v="2023-12-28T00:00:00"/>
        <x:d v="2023-12-29T00:00:00"/>
        <x:d v="2023-12-30T00:00:00"/>
        <x:d v="2023-12-31T00:00:00"/>
      </x:sharedItems>
    </x:cacheField>
    <x:cacheField name="Category">
      <x:sharedItems count="4">
        <x:s v="Товары для дома"/>
        <x:s v="Продукты"/>
        <x:s v="Электроника"/>
        <x:s v="Одежда"/>
      </x:sharedItems>
    </x:cacheField>
    <x:cacheField name="Product">
      <x:sharedItems count="16">
        <x:s v="Плед"/>
        <x:s v="Полотенце"/>
        <x:s v="Кофе"/>
        <x:s v="Ноутбук"/>
        <x:s v="Смартфон"/>
        <x:s v="Кружка"/>
        <x:s v="Подушка"/>
        <x:s v="Наушники"/>
        <x:s v="Кроссовки"/>
        <x:s v="Джинсы"/>
        <x:s v="Планшет"/>
        <x:s v="Куртка"/>
        <x:s v="Хлеб"/>
        <x:s v="Футболка"/>
        <x:s v="Молоко"/>
        <x:s v="Шоколад"/>
      </x:sharedItems>
    </x:cacheField>
    <x:cacheField name="Price">
      <x:sharedItems containsSemiMixedTypes="0" containsString="0" containsNumber="1" minValue="247.14" maxValue="149424.18" count="1200">
        <x:n v="22142.31"/>
        <x:n v="56803"/>
        <x:n v="142755.15"/>
        <x:n v="88418.8"/>
        <x:n v="140698.03"/>
        <x:n v="124739.03"/>
        <x:n v="79112.74"/>
        <x:n v="95400.21"/>
        <x:n v="113578.65"/>
        <x:n v="98852.45"/>
        <x:n v="48883.93"/>
        <x:n v="19450.02"/>
        <x:n v="6809.92"/>
        <x:n v="8569.43"/>
        <x:n v="6417.05"/>
        <x:n v="45015.51"/>
        <x:n v="130469.79"/>
        <x:n v="123879.73"/>
        <x:n v="51744.77"/>
        <x:n v="82566.78"/>
        <x:n v="20436.27"/>
        <x:n v="28652.76"/>
        <x:n v="15076.98"/>
        <x:n v="119291.86"/>
        <x:n v="61260.19"/>
        <x:n v="126354.73"/>
        <x:n v="103565.48"/>
        <x:n v="4181.63"/>
        <x:n v="54363.32"/>
        <x:n v="28295.18"/>
        <x:n v="54260.83"/>
        <x:n v="54773.8"/>
        <x:n v="40947.81"/>
        <x:n v="140674.03"/>
        <x:n v="10093.96"/>
        <x:n v="8697.43"/>
        <x:n v="141396.76"/>
        <x:n v="40016.15"/>
        <x:n v="134694.41"/>
        <x:n v="1278.07"/>
        <x:n v="52887.43"/>
        <x:n v="131826.01"/>
        <x:n v="92339.52"/>
        <x:n v="54907.86"/>
        <x:n v="145746.21"/>
        <x:n v="105031.52"/>
        <x:n v="80197.78"/>
        <x:n v="1797.68"/>
        <x:n v="54028.87"/>
        <x:n v="39035.36"/>
        <x:n v="60813.59"/>
        <x:n v="12553.42"/>
        <x:n v="74072.51"/>
        <x:n v="65645.32"/>
        <x:n v="6275.89"/>
        <x:n v="119390.3"/>
        <x:n v="122745.45"/>
        <x:n v="70703.68"/>
        <x:n v="59371.53"/>
        <x:n v="62193.12"/>
        <x:n v="61471.52"/>
        <x:n v="71332.6"/>
        <x:n v="144366.56"/>
        <x:n v="28335.65"/>
        <x:n v="56938.37"/>
        <x:n v="101544.1"/>
        <x:n v="77467.51"/>
        <x:n v="49552.06"/>
        <x:n v="47543.18"/>
        <x:n v="33764.7"/>
        <x:n v="145630.69"/>
        <x:n v="46147.51"/>
        <x:n v="111600.5"/>
        <x:n v="105994.73"/>
        <x:n v="144793.75"/>
        <x:n v="81503.88"/>
        <x:n v="48197.6"/>
        <x:n v="53247.42"/>
        <x:n v="6329.17"/>
        <x:n v="27803.03"/>
        <x:n v="66204.88"/>
        <x:n v="87262.75"/>
        <x:n v="110708.27"/>
        <x:n v="89791.77"/>
        <x:n v="71727.86"/>
        <x:n v="112317.5"/>
        <x:n v="120565.57"/>
        <x:n v="83234.86"/>
        <x:n v="90308.87"/>
        <x:n v="75128.83"/>
        <x:n v="125471.42"/>
        <x:n v="138861.97"/>
        <x:n v="112502.92"/>
        <x:n v="130284.3"/>
        <x:n v="108736.5"/>
        <x:n v="139022.04"/>
        <x:n v="93807.13"/>
        <x:n v="2272.32"/>
        <x:n v="60609.42"/>
        <x:n v="36761.62"/>
        <x:n v="84981.02"/>
        <x:n v="71784.27"/>
        <x:n v="126899.64"/>
        <x:n v="7203.63"/>
        <x:n v="122370.3"/>
        <x:n v="59735.72"/>
        <x:n v="32735.81"/>
        <x:n v="113182.54"/>
        <x:n v="69271.94"/>
        <x:n v="50727.32"/>
        <x:n v="122312.41"/>
        <x:n v="40990.06"/>
        <x:n v="102519.67"/>
        <x:n v="79695.27"/>
        <x:n v="24708.51"/>
        <x:n v="87310"/>
        <x:n v="35893.66"/>
        <x:n v="21783.22"/>
        <x:n v="92199.81"/>
        <x:n v="17015.29"/>
        <x:n v="33171.28"/>
        <x:n v="63270.95"/>
        <x:n v="31182.07"/>
        <x:n v="103076.51"/>
        <x:n v="21275.27"/>
        <x:n v="57139.79"/>
        <x:n v="77362.08"/>
        <x:n v="120515.27"/>
        <x:n v="86115.43"/>
        <x:n v="12702.72"/>
        <x:n v="37357.59"/>
        <x:n v="91637.95"/>
        <x:n v="69577.98"/>
        <x:n v="41164.61"/>
        <x:n v="86935.89"/>
        <x:n v="114530.27"/>
        <x:n v="97962.88"/>
        <x:n v="96584.97"/>
        <x:n v="40559.18"/>
        <x:n v="5750.14"/>
        <x:n v="90559.36"/>
        <x:n v="107718.06"/>
        <x:n v="116169.33"/>
        <x:n v="75720.55"/>
        <x:n v="91165.67"/>
        <x:n v="19242.85"/>
        <x:n v="78668.31"/>
        <x:n v="91037.15"/>
        <x:n v="134279.8"/>
        <x:n v="29836.83"/>
        <x:n v="11240.11"/>
        <x:n v="25568.45"/>
        <x:n v="93233.18"/>
        <x:n v="123572.47"/>
        <x:n v="142290.94"/>
        <x:n v="129419.45"/>
        <x:n v="1652"/>
        <x:n v="149424.18"/>
        <x:n v="40048.67"/>
        <x:n v="8596.57"/>
        <x:n v="31616.66"/>
        <x:n v="33967.68"/>
        <x:n v="64623.12"/>
        <x:n v="108918.44"/>
        <x:n v="13168.07"/>
        <x:n v="79396.51"/>
        <x:n v="44360.85"/>
        <x:n v="73969.65"/>
        <x:n v="24640.19"/>
        <x:n v="101346.93"/>
        <x:n v="143742.77"/>
        <x:n v="8096.67"/>
        <x:n v="140813.76"/>
        <x:n v="112807.74"/>
        <x:n v="121036.93"/>
        <x:n v="11430.77"/>
        <x:n v="19867.34"/>
        <x:n v="71547.13"/>
        <x:n v="18985.4"/>
        <x:n v="18254.39"/>
        <x:n v="47487.26"/>
        <x:n v="34908.69"/>
        <x:n v="25698.22"/>
        <x:n v="128046.64"/>
        <x:n v="103898.01"/>
        <x:n v="99135.74"/>
        <x:n v="48865.85"/>
        <x:n v="16276.23"/>
        <x:n v="145589.24"/>
        <x:n v="120573.67"/>
        <x:n v="147121.94"/>
        <x:n v="75986.42"/>
        <x:n v="64105.89"/>
        <x:n v="133030.34"/>
        <x:n v="42330.42"/>
        <x:n v="88270.57"/>
        <x:n v="110220.05"/>
        <x:n v="5850.1"/>
        <x:n v="147070"/>
        <x:n v="136717.91"/>
        <x:n v="97959.81"/>
        <x:n v="70223.39"/>
        <x:n v="115088.39"/>
        <x:n v="48620.44"/>
        <x:n v="53683.12"/>
        <x:n v="29948.22"/>
        <x:n v="38994.45"/>
        <x:n v="122175.96"/>
        <x:n v="21184.16"/>
        <x:n v="90586.72"/>
        <x:n v="38867.29"/>
        <x:n v="94032.58"/>
        <x:n v="39637.85"/>
        <x:n v="98390.17"/>
        <x:n v="89350.27"/>
        <x:n v="10114.8"/>
        <x:n v="126963.99"/>
        <x:n v="68069.58"/>
        <x:n v="27739.57"/>
        <x:n v="147358.15"/>
        <x:n v="102152.01"/>
        <x:n v="27117.5"/>
        <x:n v="75140.47"/>
        <x:n v="112356.14"/>
        <x:n v="78474.6"/>
        <x:n v="48262.48"/>
        <x:n v="54168.28"/>
        <x:n v="81915.66"/>
        <x:n v="23623.76"/>
        <x:n v="121467.14"/>
        <x:n v="89121.11"/>
        <x:n v="27496.97"/>
        <x:n v="133090.1"/>
        <x:n v="77006.17"/>
        <x:n v="135403.37"/>
        <x:n v="81158.53"/>
        <x:n v="24297.48"/>
        <x:n v="1655.72"/>
        <x:n v="81253.35"/>
        <x:n v="77800.88"/>
        <x:n v="13586.3"/>
        <x:n v="92124.8"/>
        <x:n v="31425.86"/>
        <x:n v="83019.22"/>
        <x:n v="110531.67"/>
        <x:n v="40111.61"/>
        <x:n v="61659.93"/>
        <x:n v="14391.3"/>
        <x:n v="24800.36"/>
        <x:n v="119760.13"/>
        <x:n v="36441.35"/>
        <x:n v="23528.84"/>
        <x:n v="139982.61"/>
        <x:n v="23649.3"/>
        <x:n v="55179.96"/>
        <x:n v="5940.27"/>
        <x:n v="13710.09"/>
        <x:n v="2554.73"/>
        <x:n v="4597.96"/>
        <x:n v="147762.48"/>
        <x:n v="133645.54"/>
        <x:n v="132712.03"/>
        <x:n v="123659.73"/>
        <x:n v="139479.29"/>
        <x:n v="130055.48"/>
        <x:n v="126544.85"/>
        <x:n v="99534.03"/>
        <x:n v="141809.49"/>
        <x:n v="78329.22"/>
        <x:n v="64318.9"/>
        <x:n v="14962.8"/>
        <x:n v="101747.64"/>
        <x:n v="135728.99"/>
        <x:n v="98587.63"/>
        <x:n v="26505.13"/>
        <x:n v="105890.8"/>
        <x:n v="59201.87"/>
        <x:n v="122195.74"/>
        <x:n v="32226.01"/>
        <x:n v="3624.85"/>
        <x:n v="13897.12"/>
        <x:n v="94813.91"/>
        <x:n v="110157.69"/>
        <x:n v="744.67"/>
        <x:n v="104177.95"/>
        <x:n v="110347.26"/>
        <x:n v="129551.25"/>
        <x:n v="6635.76"/>
        <x:n v="40638.92"/>
        <x:n v="128183.1"/>
        <x:n v="54753.1"/>
        <x:n v="141394.94"/>
        <x:n v="90995.6"/>
        <x:n v="98898.06"/>
        <x:n v="135134.33"/>
        <x:n v="121930.43"/>
        <x:n v="31993.25"/>
        <x:n v="104700.34"/>
        <x:n v="125304.82"/>
        <x:n v="7871.6"/>
        <x:n v="111384.18"/>
        <x:n v="48206.04"/>
        <x:n v="33177.85"/>
        <x:n v="101969.33"/>
        <x:n v="120909.43"/>
        <x:n v="112600.55"/>
        <x:n v="75369.1"/>
        <x:n v="10931.97"/>
        <x:n v="16407.54"/>
        <x:n v="89425.8"/>
        <x:n v="32174.45"/>
        <x:n v="96306.18"/>
        <x:n v="93165.82"/>
        <x:n v="123862.52"/>
        <x:n v="111416.45"/>
        <x:n v="29884.66"/>
        <x:n v="50325.25"/>
        <x:n v="115725.3"/>
        <x:n v="142462.51"/>
        <x:n v="146218.26"/>
        <x:n v="119010.18"/>
        <x:n v="71036.65"/>
        <x:n v="94986.87"/>
        <x:n v="63705.02"/>
        <x:n v="4671.32"/>
        <x:n v="61203.55"/>
        <x:n v="44175.12"/>
        <x:n v="99003.42"/>
        <x:n v="107572.96"/>
        <x:n v="92623.07"/>
        <x:n v="102803.17"/>
        <x:n v="16863.16"/>
        <x:n v="12698.49"/>
        <x:n v="112671.48"/>
        <x:n v="10379.79"/>
        <x:n v="32598.83"/>
        <x:n v="96977.37"/>
        <x:n v="106968.07"/>
        <x:n v="136766.5"/>
        <x:n v="964.07"/>
        <x:n v="111518.81"/>
        <x:n v="102343.83"/>
        <x:n v="25109.53"/>
        <x:n v="92669.54"/>
        <x:n v="43548.97"/>
        <x:n v="26975.5"/>
        <x:n v="5804.12"/>
        <x:n v="136901.99"/>
        <x:n v="146392.13"/>
        <x:n v="33932.13"/>
        <x:n v="112444.04"/>
        <x:n v="110323.69"/>
        <x:n v="23165.36"/>
        <x:n v="131405.55"/>
        <x:n v="54742.46"/>
        <x:n v="16927.41"/>
        <x:n v="79117.42"/>
        <x:n v="103272.35"/>
        <x:n v="133326.4"/>
        <x:n v="41325.22"/>
        <x:n v="104747.39"/>
        <x:n v="94729.25"/>
        <x:n v="18956.52"/>
        <x:n v="137779.99"/>
        <x:n v="145839.23"/>
        <x:n v="145457.29"/>
        <x:n v="147634.4"/>
        <x:n v="92383.34"/>
        <x:n v="117771.4"/>
        <x:n v="66653.82"/>
        <x:n v="98337.45"/>
        <x:n v="25557.25"/>
        <x:n v="14717.73"/>
        <x:n v="59047.12"/>
        <x:n v="45886.08"/>
        <x:n v="17214.09"/>
        <x:n v="35797.62"/>
        <x:n v="116795.68"/>
        <x:n v="112418.4"/>
        <x:n v="9579.31"/>
        <x:n v="73427.86"/>
        <x:n v="84724.96"/>
        <x:n v="59892.66"/>
        <x:n v="98146.71"/>
        <x:n v="102515.29"/>
        <x:n v="99184.1"/>
        <x:n v="83703.24"/>
        <x:n v="24254.68"/>
        <x:n v="75969.54"/>
        <x:n v="140488.31"/>
        <x:n v="6305.58"/>
        <x:n v="143985.76"/>
        <x:n v="23928.62"/>
        <x:n v="8009.11"/>
        <x:n v="44899.42"/>
        <x:n v="72203.3"/>
        <x:n v="131415.91"/>
        <x:n v="40031.68"/>
        <x:n v="106983.17"/>
        <x:n v="142878.58"/>
        <x:n v="42367.31"/>
        <x:n v="84721.33"/>
        <x:n v="113079.48"/>
        <x:n v="102466.18"/>
        <x:n v="66198.49"/>
        <x:n v="69792.22"/>
        <x:n v="75640.86"/>
        <x:n v="128885.36"/>
        <x:n v="15488.38"/>
        <x:n v="44500.01"/>
        <x:n v="86314.54"/>
        <x:n v="47843.62"/>
        <x:n v="127496.94"/>
        <x:n v="73550.58"/>
        <x:n v="91482.03"/>
        <x:n v="21831.92"/>
        <x:n v="117854.12"/>
        <x:n v="124742.66"/>
        <x:n v="36224.47"/>
        <x:n v="70993.89"/>
        <x:n v="130024.14"/>
        <x:n v="130964.07"/>
        <x:n v="137592.12"/>
        <x:n v="131643.23"/>
        <x:n v="54038.5"/>
        <x:n v="29511.32"/>
        <x:n v="6230.85"/>
        <x:n v="96224.17"/>
        <x:n v="144018.69"/>
        <x:n v="132186.31"/>
        <x:n v="42782.52"/>
        <x:n v="58475.6"/>
        <x:n v="17395.19"/>
        <x:n v="129782.38"/>
        <x:n v="116193.5"/>
        <x:n v="36553.05"/>
        <x:n v="28226.13"/>
        <x:n v="98816.16"/>
        <x:n v="72015.03"/>
        <x:n v="3679.58"/>
        <x:n v="54192.58"/>
        <x:n v="69877.65"/>
        <x:n v="65315.54"/>
        <x:n v="71874.09"/>
        <x:n v="51950.09"/>
        <x:n v="97590.09"/>
        <x:n v="140744.99"/>
        <x:n v="41370.15"/>
        <x:n v="37700.51"/>
        <x:n v="7328.64"/>
        <x:n v="88238.31"/>
        <x:n v="51555.02"/>
        <x:n v="79778.7"/>
        <x:n v="29455.82"/>
        <x:n v="92375.53"/>
        <x:n v="58431.95"/>
        <x:n v="127773.14"/>
        <x:n v="120318.08"/>
        <x:n v="147872.66"/>
        <x:n v="33449.11"/>
        <x:n v="87802.33"/>
        <x:n v="90629.24"/>
        <x:n v="140555.36"/>
        <x:n v="53939.3"/>
        <x:n v="18404.52"/>
        <x:n v="62102.4"/>
        <x:n v="111921.3"/>
        <x:n v="84100.06"/>
        <x:n v="133018.41"/>
        <x:n v="36288.84"/>
        <x:n v="104436.2"/>
        <x:n v="145505.74"/>
        <x:n v="113255.04"/>
        <x:n v="39058.13"/>
        <x:n v="94612.14"/>
        <x:n v="65897.43"/>
        <x:n v="112501.67"/>
        <x:n v="42384.78"/>
        <x:n v="37759.94"/>
        <x:n v="131616.87"/>
        <x:n v="10677.09"/>
        <x:n v="38450.3"/>
        <x:n v="29275.83"/>
        <x:n v="90695.15"/>
        <x:n v="96088.22"/>
        <x:n v="95168.14"/>
        <x:n v="7599.33"/>
        <x:n v="110247.5"/>
        <x:n v="108040.25"/>
        <x:n v="17229.66"/>
        <x:n v="17573.62"/>
        <x:n v="28667.24"/>
        <x:n v="136221.16"/>
        <x:n v="98123.32"/>
        <x:n v="82885.34"/>
        <x:n v="130479.19"/>
        <x:n v="21299.25"/>
        <x:n v="85135.68"/>
        <x:n v="75657.5"/>
        <x:n v="103205.33"/>
        <x:n v="63615.61"/>
        <x:n v="54085.09"/>
        <x:n v="100185.54"/>
        <x:n v="35878.55"/>
        <x:n v="61455.67"/>
        <x:n v="86180.05"/>
        <x:n v="75345.73"/>
        <x:n v="77518.2"/>
        <x:n v="17739.57"/>
        <x:n v="39061.35"/>
        <x:n v="19167.36"/>
        <x:n v="121480.54"/>
        <x:n v="140220.14"/>
        <x:n v="33143.87"/>
        <x:n v="55818.31"/>
        <x:n v="77854.78"/>
        <x:n v="84786.32"/>
        <x:n v="26385.25"/>
        <x:n v="90382.63"/>
        <x:n v="91499.44"/>
        <x:n v="84588.9"/>
        <x:n v="86984.79"/>
        <x:n v="19535.25"/>
        <x:n v="86120.44"/>
        <x:n v="147166.26"/>
        <x:n v="101352.19"/>
        <x:n v="18539.35"/>
        <x:n v="23385.92"/>
        <x:n v="13648.43"/>
        <x:n v="75223.97"/>
        <x:n v="39135.24"/>
        <x:n v="79525.79"/>
        <x:n v="133180.18"/>
        <x:n v="132554.16"/>
        <x:n v="108631.63"/>
        <x:n v="111680.52"/>
        <x:n v="127064.11"/>
        <x:n v="100848.23"/>
        <x:n v="131245.73"/>
        <x:n v="26565.4"/>
        <x:n v="36923.7"/>
        <x:n v="141302.36"/>
        <x:n v="29316.24"/>
        <x:n v="32670.06"/>
        <x:n v="62177.79"/>
        <x:n v="112475.56"/>
        <x:n v="140453.5"/>
        <x:n v="52560.81"/>
        <x:n v="50833.49"/>
        <x:n v="124109.09"/>
        <x:n v="53538.25"/>
        <x:n v="35672.37"/>
        <x:n v="122939.45"/>
        <x:n v="81552.08"/>
        <x:n v="1664.6"/>
        <x:n v="5618.25"/>
        <x:n v="19506.97"/>
        <x:n v="63370.25"/>
        <x:n v="81494.77"/>
        <x:n v="138696.21"/>
        <x:n v="35638.98"/>
        <x:n v="39517.78"/>
        <x:n v="118413.28"/>
        <x:n v="11157.65"/>
        <x:n v="140569.95"/>
        <x:n v="101605.53"/>
        <x:n v="119254.95"/>
        <x:n v="2426.31"/>
        <x:n v="52632.88"/>
        <x:n v="54656.93"/>
        <x:n v="13703.08"/>
        <x:n v="75364.85"/>
        <x:n v="21272.41"/>
        <x:n v="91400.19"/>
        <x:n v="125918.07"/>
        <x:n v="30385.36"/>
        <x:n v="8950.4"/>
        <x:n v="106327.6"/>
        <x:n v="146461.26"/>
        <x:n v="132602.02"/>
        <x:n v="142191.81"/>
        <x:n v="147604.06"/>
        <x:n v="21518.72"/>
        <x:n v="117563.45"/>
        <x:n v="107964.16"/>
        <x:n v="137607.13"/>
        <x:n v="112323.94"/>
        <x:n v="121900.12"/>
        <x:n v="487.17"/>
        <x:n v="56943.12"/>
        <x:n v="114201.36"/>
        <x:n v="22088.58"/>
        <x:n v="64362.84"/>
        <x:n v="71130.21"/>
        <x:n v="11159.16"/>
        <x:n v="117613.91"/>
        <x:n v="56926.76"/>
        <x:n v="98459.84"/>
        <x:n v="64978.81"/>
        <x:n v="31319.69"/>
        <x:n v="97060.66"/>
        <x:n v="38765.96"/>
        <x:n v="23481.33"/>
        <x:n v="105544.43"/>
        <x:n v="47109.14"/>
        <x:n v="81563.36"/>
        <x:n v="141564.13"/>
        <x:n v="37869.64"/>
        <x:n v="124780.94"/>
        <x:n v="101648.75"/>
        <x:n v="26727.2"/>
        <x:n v="47604.93"/>
        <x:n v="39983.63"/>
        <x:n v="103783.64"/>
        <x:n v="49483.89"/>
        <x:n v="34836.42"/>
        <x:n v="100463.62"/>
        <x:n v="11050.22"/>
        <x:n v="73082.8"/>
        <x:n v="100344.88"/>
        <x:n v="74341.8"/>
        <x:n v="75654.7"/>
        <x:n v="19796.99"/>
        <x:n v="95390.23"/>
        <x:n v="76561.71"/>
        <x:n v="131229.66"/>
        <x:n v="107787.07"/>
        <x:n v="22056.47"/>
        <x:n v="8506.11"/>
        <x:n v="38721.93"/>
        <x:n v="147713.65"/>
        <x:n v="108416.47"/>
        <x:n v="14923.77"/>
        <x:n v="63142.3"/>
        <x:n v="117667.42"/>
        <x:n v="62621.9"/>
        <x:n v="118600.53"/>
        <x:n v="146312.53"/>
        <x:n v="11517"/>
        <x:n v="128706.19"/>
        <x:n v="23131.59"/>
        <x:n v="61266.32"/>
        <x:n v="84272.71"/>
        <x:n v="147952.74"/>
        <x:n v="112730.15"/>
        <x:n v="131001.74"/>
        <x:n v="103751.4"/>
        <x:n v="28503.81"/>
        <x:n v="61849.39"/>
        <x:n v="60182.22"/>
        <x:n v="41982.03"/>
        <x:n v="29816.82"/>
        <x:n v="36854.11"/>
        <x:n v="114091.17"/>
        <x:n v="68754.36"/>
        <x:n v="83972.74"/>
        <x:n v="52954.78"/>
        <x:n v="110621.17"/>
        <x:n v="73903.37"/>
        <x:n v="71819.98"/>
        <x:n v="62799.69"/>
        <x:n v="21649.27"/>
        <x:n v="7795.96"/>
        <x:n v="16067.1"/>
        <x:n v="27519.52"/>
        <x:n v="85043.19"/>
        <x:n v="16012.27"/>
        <x:n v="119331"/>
        <x:n v="88858.27"/>
        <x:n v="147425.43"/>
        <x:n v="13480.35"/>
        <x:n v="27851.02"/>
        <x:n v="128693.33"/>
        <x:n v="30627"/>
        <x:n v="5693.01"/>
        <x:n v="54798.63"/>
        <x:n v="137751.35"/>
        <x:n v="28936.61"/>
        <x:n v="132962.48"/>
        <x:n v="45334.84"/>
        <x:n v="80273.37"/>
        <x:n v="48285.78"/>
        <x:n v="116785.56"/>
        <x:n v="145709.4"/>
        <x:n v="29664.45"/>
        <x:n v="56185.69"/>
        <x:n v="41880.21"/>
        <x:n v="89406.79"/>
        <x:n v="41195.04"/>
        <x:n v="29272.35"/>
        <x:n v="82000.31"/>
        <x:n v="142444.69"/>
        <x:n v="66613.58"/>
        <x:n v="138433.73"/>
        <x:n v="96195.73"/>
        <x:n v="117916.68"/>
        <x:n v="137704.42"/>
        <x:n v="28885.71"/>
        <x:n v="106226.45"/>
        <x:n v="17003.13"/>
        <x:n v="116809.63"/>
        <x:n v="8105.83"/>
        <x:n v="118399.1"/>
        <x:n v="108927.48"/>
        <x:n v="1754.77"/>
        <x:n v="41593.2"/>
        <x:n v="59755.12"/>
        <x:n v="103905.5"/>
        <x:n v="10833.39"/>
        <x:n v="50781.25"/>
        <x:n v="56341.37"/>
        <x:n v="80751.61"/>
        <x:n v="128948.39"/>
        <x:n v="66201.89"/>
        <x:n v="19120.19"/>
        <x:n v="20942.72"/>
        <x:n v="142010.64"/>
        <x:n v="28143.56"/>
        <x:n v="142589.73"/>
        <x:n v="1092.72"/>
        <x:n v="13457.71"/>
        <x:n v="62993.55"/>
        <x:n v="19754.31"/>
        <x:n v="97187.55"/>
        <x:n v="51996.87"/>
        <x:n v="38571.1"/>
        <x:n v="49640.22"/>
        <x:n v="63086.3"/>
        <x:n v="44670.64"/>
        <x:n v="107005.99"/>
        <x:n v="12125.3"/>
        <x:n v="119388.94"/>
        <x:n v="77148.31"/>
        <x:n v="101647.85"/>
        <x:n v="58759.57"/>
        <x:n v="24566.59"/>
        <x:n v="144445.78"/>
        <x:n v="36722.57"/>
        <x:n v="104343.92"/>
        <x:n v="76320.68"/>
        <x:n v="41746.3"/>
        <x:n v="72725.28"/>
        <x:n v="106444.09"/>
        <x:n v="105983.97"/>
        <x:n v="142876.91"/>
        <x:n v="14693.78"/>
        <x:n v="68980.98"/>
        <x:n v="34164.02"/>
        <x:n v="11716.83"/>
        <x:n v="54208.61"/>
        <x:n v="40145.38"/>
        <x:n v="97867.96"/>
        <x:n v="106290.75"/>
        <x:n v="131387.64"/>
        <x:n v="35823.22"/>
        <x:n v="142148.59"/>
        <x:n v="73092.26"/>
        <x:n v="85266.12"/>
        <x:n v="139318.38"/>
        <x:n v="144298.42"/>
        <x:n v="65540.06"/>
        <x:n v="68733.11"/>
        <x:n v="24453.14"/>
        <x:n v="124745.81"/>
        <x:n v="143849.85"/>
        <x:n v="91458.67"/>
        <x:n v="54353.92"/>
        <x:n v="106163.22"/>
        <x:n v="51962.28"/>
        <x:n v="2273.22"/>
        <x:n v="2630.26"/>
        <x:n v="12304.51"/>
        <x:n v="66493.34"/>
        <x:n v="148871.7"/>
        <x:n v="130683.34"/>
        <x:n v="19945.54"/>
        <x:n v="2955.63"/>
        <x:n v="83263.48"/>
        <x:n v="247.14"/>
        <x:n v="30662.55"/>
        <x:n v="88807.53"/>
        <x:n v="42146.28"/>
        <x:n v="8239.35"/>
        <x:n v="126268.98"/>
        <x:n v="101248.22"/>
        <x:n v="58405.67"/>
        <x:n v="105645.76"/>
        <x:n v="135557"/>
        <x:n v="128867.15"/>
        <x:n v="144924.22"/>
        <x:n v="63783.16"/>
        <x:n v="116430.5"/>
        <x:n v="45117.64"/>
        <x:n v="5305"/>
        <x:n v="113723.68"/>
        <x:n v="15320.78"/>
        <x:n v="50791.88"/>
        <x:n v="95831.94"/>
        <x:n v="65656.31"/>
        <x:n v="122996.34"/>
        <x:n v="81660.27"/>
        <x:n v="101322.65"/>
        <x:n v="108938.18"/>
        <x:n v="133968.07"/>
        <x:n v="18663.68"/>
        <x:n v="78215.7"/>
        <x:n v="131499.72"/>
        <x:n v="45316.4"/>
        <x:n v="141084.95"/>
        <x:n v="80902.25"/>
        <x:n v="121700.28"/>
        <x:n v="28965.38"/>
        <x:n v="145221.51"/>
        <x:n v="26585.21"/>
        <x:n v="141931.87"/>
        <x:n v="99269.74"/>
        <x:n v="111039.45"/>
        <x:n v="84614.88"/>
        <x:n v="49146.97"/>
        <x:n v="45038.16"/>
        <x:n v="122982.34"/>
        <x:n v="78566.75"/>
        <x:n v="13454.17"/>
        <x:n v="13215.39"/>
        <x:n v="29718.32"/>
        <x:n v="107235.25"/>
        <x:n v="87046.97"/>
        <x:n v="57510.61"/>
        <x:n v="6087.86"/>
        <x:n v="49947.61"/>
        <x:n v="63698.58"/>
        <x:n v="102535.09"/>
        <x:n v="102016.17"/>
        <x:n v="32693.04"/>
        <x:n v="6288.31"/>
        <x:n v="109636.73"/>
        <x:n v="52006.23"/>
        <x:n v="114253.35"/>
        <x:n v="100580.01"/>
        <x:n v="62718.1"/>
        <x:n v="38945.85"/>
        <x:n v="95674.5"/>
        <x:n v="78754.77"/>
        <x:n v="55192.49"/>
        <x:n v="125599.11"/>
        <x:n v="132643.82"/>
        <x:n v="47287.57"/>
        <x:n v="143912.63"/>
        <x:n v="78928.97"/>
        <x:n v="110670.58"/>
        <x:n v="28026.27"/>
        <x:n v="84277.46"/>
        <x:n v="104911.79"/>
        <x:n v="121243.87"/>
        <x:n v="91993.62"/>
        <x:n v="11225.76"/>
        <x:n v="28908.59"/>
        <x:n v="111744.34"/>
        <x:n v="39914.54"/>
        <x:n v="143349.65"/>
        <x:n v="55448.76"/>
        <x:n v="94003.05"/>
        <x:n v="77463.9"/>
        <x:n v="4608.69"/>
        <x:n v="138817.71"/>
        <x:n v="65280.29"/>
        <x:n v="48709.29"/>
        <x:n v="32462.13"/>
        <x:n v="140816.18"/>
        <x:n v="126077.12"/>
        <x:n v="105153.53"/>
        <x:n v="129462.38"/>
        <x:n v="18907.34"/>
        <x:n v="122836.36"/>
        <x:n v="69869.01"/>
        <x:n v="89719.92"/>
        <x:n v="59604.35"/>
        <x:n v="36497.54"/>
        <x:n v="5661.47"/>
        <x:n v="137416.74"/>
        <x:n v="24017.68"/>
        <x:n v="36026.89"/>
        <x:n v="54586.31"/>
        <x:n v="133975.4"/>
        <x:n v="99809.67"/>
        <x:n v="121363.31"/>
        <x:n v="124308.43"/>
        <x:n v="105155.51"/>
        <x:n v="136792.35"/>
        <x:n v="80879.46"/>
        <x:n v="5818.34"/>
        <x:n v="71609.28"/>
        <x:n v="11795.41"/>
        <x:n v="96475.13"/>
        <x:n v="98725.69"/>
        <x:n v="64067.91"/>
        <x:n v="26252.93"/>
        <x:n v="16443.3"/>
        <x:n v="12506.23"/>
        <x:n v="123266.05"/>
        <x:n v="104916.99"/>
        <x:n v="69954.28"/>
        <x:n v="53542.63"/>
        <x:n v="35206.25"/>
        <x:n v="107815.83"/>
        <x:n v="81142.18"/>
        <x:n v="5043.9"/>
        <x:n v="67461.89"/>
        <x:n v="72077.88"/>
        <x:n v="10239.32"/>
        <x:n v="132323.2"/>
        <x:n v="148806.13"/>
        <x:n v="83018.45"/>
        <x:n v="53936.51"/>
        <x:n v="92164.96"/>
        <x:n v="42700.96"/>
        <x:n v="80190.1"/>
        <x:n v="99314.11"/>
        <x:n v="32209.75"/>
        <x:n v="100685.27"/>
        <x:n v="52374.62"/>
        <x:n v="112316.29"/>
        <x:n v="30729.38"/>
        <x:n v="46159.86"/>
        <x:n v="130392.71"/>
        <x:n v="50526.05"/>
        <x:n v="81001.28"/>
        <x:n v="50194.77"/>
        <x:n v="65956.77"/>
        <x:n v="79150.3"/>
        <x:n v="80089.46"/>
        <x:n v="49422.99"/>
        <x:n v="119969.69"/>
        <x:n v="107644.84"/>
        <x:n v="99342.18"/>
        <x:n v="39286.08"/>
        <x:n v="120424.49"/>
        <x:n v="108379"/>
        <x:n v="71527.52"/>
        <x:n v="87195.82"/>
        <x:n v="110682.95"/>
        <x:n v="114016.44"/>
        <x:n v="129868.52"/>
        <x:n v="115377.17"/>
        <x:n v="131969.39"/>
        <x:n v="130085.4"/>
        <x:n v="24630.81"/>
        <x:n v="15661.56"/>
        <x:n v="28887.48"/>
        <x:n v="73777.44"/>
        <x:n v="57256.99"/>
        <x:n v="140108.15"/>
        <x:n v="942.11"/>
        <x:n v="97361.83"/>
        <x:n v="96171.47"/>
        <x:n v="57028.8"/>
        <x:n v="4170.74"/>
        <x:n v="44391.32"/>
        <x:n v="96461.63"/>
        <x:n v="105423.72"/>
        <x:n v="57912.15"/>
        <x:n v="120693.42"/>
        <x:n v="9972.42"/>
        <x:n v="105999.96"/>
        <x:n v="95838.92"/>
        <x:n v="107972.1"/>
        <x:n v="141782.36"/>
        <x:n v="69058.43"/>
        <x:n v="81321.14"/>
        <x:n v="34024.99"/>
        <x:n v="488.35"/>
        <x:n v="64683.91"/>
        <x:n v="39378.86"/>
        <x:n v="131130.12"/>
        <x:n v="26574.06"/>
        <x:n v="40983.45"/>
        <x:n v="128125.82"/>
        <x:n v="61256.69"/>
        <x:n v="131713.25"/>
        <x:n v="116945.81"/>
        <x:n v="61736.58"/>
        <x:n v="120415.02"/>
        <x:n v="98809.51"/>
        <x:n v="133459.56"/>
        <x:n v="137686.82"/>
        <x:n v="21726.9"/>
        <x:n v="77106.93"/>
        <x:n v="28179.34"/>
        <x:n v="102518.84"/>
        <x:n v="14302.36"/>
        <x:n v="117699.62"/>
        <x:n v="59977.17"/>
        <x:n v="19124.56"/>
        <x:n v="143651.5"/>
        <x:n v="34040"/>
        <x:n v="4851.47"/>
        <x:n v="110331.59"/>
        <x:n v="13575.16"/>
        <x:n v="64362.67"/>
        <x:n v="61412.57"/>
        <x:n v="16466.65"/>
        <x:n v="32139.91"/>
        <x:n v="112924.93"/>
        <x:n v="31925.36"/>
        <x:n v="141268.19"/>
        <x:n v="57315.42"/>
        <x:n v="105177.14"/>
        <x:n v="135062.09"/>
        <x:n v="145751.73"/>
        <x:n v="114614.53"/>
        <x:n v="60077.67"/>
        <x:n v="82055.69"/>
        <x:n v="28003.09"/>
        <x:n v="90149.48"/>
        <x:n v="143043.58"/>
        <x:n v="47881.89"/>
        <x:n v="18376.14"/>
        <x:n v="75118.76"/>
        <x:n v="86561.39"/>
        <x:n v="2847.76"/>
        <x:n v="71891.66"/>
        <x:n v="29193.14"/>
        <x:n v="125467.53"/>
        <x:n v="125262.96"/>
        <x:n v="132008.41"/>
        <x:n v="39650.98"/>
        <x:n v="113339.67"/>
        <x:n v="135175.62"/>
        <x:n v="140104.75"/>
        <x:n v="91928.51"/>
        <x:n v="56031.8"/>
        <x:n v="147411.78"/>
        <x:n v="2898.91"/>
        <x:n v="127468.89"/>
        <x:n v="35581.97"/>
        <x:n v="85731.29"/>
        <x:n v="122923.55"/>
        <x:n v="126723.09"/>
        <x:n v="49934.1"/>
        <x:n v="104139.34"/>
        <x:n v="56408.51"/>
        <x:n v="147163.62"/>
        <x:n v="34901.3"/>
        <x:n v="113947.52"/>
        <x:n v="80267.53"/>
        <x:n v="74467.32"/>
        <x:n v="100076.16"/>
        <x:n v="24745.48"/>
        <x:n v="30436.19"/>
        <x:n v="124608.51"/>
        <x:n v="111331.35"/>
        <x:n v="39545.04"/>
        <x:n v="145261.27"/>
        <x:n v="92782.53"/>
        <x:n v="10977.55"/>
        <x:n v="61499.92"/>
        <x:n v="38064.6"/>
        <x:n v="124833.97"/>
        <x:n v="19927.87"/>
        <x:n v="11810.29"/>
        <x:n v="54709.84"/>
        <x:n v="129723.56"/>
        <x:n v="67090.67"/>
        <x:n v="135410.37"/>
        <x:n v="51260.99"/>
        <x:n v="80711.66"/>
        <x:n v="47615.62"/>
        <x:n v="136104.19"/>
        <x:n v="81895.51"/>
        <x:n v="133267.86"/>
        <x:n v="88263.35"/>
        <x:n v="65893.6"/>
        <x:n v="49426.49"/>
        <x:n v="36470.76"/>
        <x:n v="92025.96"/>
        <x:n v="137310.11"/>
        <x:n v="9789.6"/>
        <x:n v="59952.82"/>
        <x:n v="100059.73"/>
        <x:n v="142742.21"/>
        <x:n v="85668.76"/>
        <x:n v="32988.03"/>
        <x:n v="46343.65"/>
        <x:n v="144655.34"/>
        <x:n v="18152.85"/>
        <x:n v="124806.53"/>
        <x:n v="26265.72"/>
        <x:n v="76819.68"/>
        <x:n v="63371.3"/>
        <x:n v="14014.57"/>
        <x:n v="91339.75"/>
        <x:n v="14023.46"/>
        <x:n v="35577.99"/>
        <x:n v="87452.28"/>
        <x:n v="111431.05"/>
        <x:n v="52058.65"/>
        <x:n v="80827.14"/>
        <x:n v="97891.69"/>
        <x:n v="97419.02"/>
        <x:n v="65109.41"/>
        <x:n v="77398.57"/>
        <x:n v="115001.95"/>
        <x:n v="79385.04"/>
        <x:n v="83540.6"/>
        <x:n v="143008.21"/>
        <x:n v="136930.18"/>
        <x:n v="4062.89"/>
        <x:n v="127999.94"/>
        <x:n v="48575.02"/>
        <x:n v="56110.12"/>
        <x:n v="30606.26"/>
        <x:n v="10398.43"/>
        <x:n v="95407.23"/>
        <x:n v="81479.49"/>
        <x:n v="109363.98"/>
        <x:n v="24921.36"/>
        <x:n v="87904.47"/>
        <x:n v="134384.71"/>
        <x:n v="116732.44"/>
        <x:n v="110676.74"/>
        <x:n v="79522.24"/>
        <x:n v="87738.62"/>
        <x:n v="11353.47"/>
        <x:n v="15380.14"/>
        <x:n v="24545.63"/>
        <x:n v="89649.11"/>
        <x:n v="145826.86"/>
        <x:n v="119397.71"/>
        <x:n v="17564.85"/>
        <x:n v="136402.6"/>
        <x:n v="29101.01"/>
        <x:n v="96013.28"/>
        <x:n v="141189.83"/>
        <x:n v="49112.52"/>
        <x:n v="41678.31"/>
        <x:n v="44301.4"/>
        <x:n v="98941.36"/>
        <x:n v="31939.84"/>
        <x:n v="115624.24"/>
        <x:n v="27721.71"/>
        <x:n v="71979.29"/>
        <x:n v="72785.01"/>
        <x:n v="90755.11"/>
        <x:n v="133879.56"/>
        <x:n v="91699.81"/>
        <x:n v="33167.83"/>
        <x:n v="138791.08"/>
        <x:n v="144192.92"/>
        <x:n v="30047.71"/>
        <x:n v="10743.19"/>
        <x:n v="53991.39"/>
        <x:n v="49339.51"/>
        <x:n v="35997.81"/>
        <x:n v="142928.81"/>
        <x:n v="15985.22"/>
        <x:n v="3266.44"/>
        <x:n v="71650.62"/>
        <x:n v="137385.46"/>
        <x:n v="85568.45"/>
        <x:n v="92454.98"/>
        <x:n v="77144.55"/>
        <x:n v="6908.71"/>
        <x:n v="30340.49"/>
        <x:n v="114526.63"/>
        <x:n v="12496.5"/>
        <x:n v="16562.2"/>
        <x:n v="21606.34"/>
        <x:n v="42672.63"/>
        <x:n v="52112.33"/>
        <x:n v="17238.1"/>
        <x:n v="94343.08"/>
        <x:n v="116314.06"/>
        <x:n v="38811.15"/>
        <x:n v="84170.92"/>
        <x:n v="99378.23"/>
        <x:n v="22685.05"/>
        <x:n v="27217.37"/>
        <x:n v="120267.66"/>
        <x:n v="104764.63"/>
        <x:n v="108100.5"/>
        <x:n v="142679.97"/>
        <x:n v="35464.46"/>
        <x:n v="81574.84"/>
        <x:n v="136318.51"/>
        <x:n v="99102.17"/>
        <x:n v="69663.52"/>
        <x:n v="120043.91"/>
        <x:n v="12346.46"/>
        <x:n v="15011.35"/>
        <x:n v="139659.39"/>
        <x:n v="133672.47"/>
        <x:n v="98257.04"/>
        <x:n v="4248.53"/>
        <x:n v="98383.78"/>
        <x:n v="62813.78"/>
        <x:n v="133292.48"/>
        <x:n v="133910.84"/>
        <x:n v="145349.31"/>
        <x:n v="99075.4"/>
        <x:n v="1370.45"/>
      </x:sharedItems>
    </x:cacheField>
    <x:cacheField name="Quantity">
      <x:sharedItems containsSemiMixedTypes="0" containsString="0" containsNumber="1" containsInteger="1" minValue="1" maxValue="10" count="10">
        <x:n v="2"/>
        <x:n v="8"/>
        <x:n v="4"/>
        <x:n v="1"/>
        <x:n v="6"/>
        <x:n v="7"/>
        <x:n v="5"/>
        <x:n v="10"/>
        <x:n v="9"/>
        <x:n v="3"/>
      </x:sharedItems>
    </x:cacheField>
    <x:cacheField name="CustomerRegion">
      <x:sharedItems count="6">
        <x:s v="Новосибирск"/>
        <x:s v="Санкт‑Петербург"/>
        <x:s v="Екатеринбург"/>
        <x:s v="Казань"/>
        <x:s v="Московская область"/>
        <x:s v="Москва"/>
      </x:sharedItems>
    </x:cacheField>
    <x:cacheField name="Total">
      <x:sharedItems containsSemiMixedTypes="0" containsString="0" containsNumber="1" minValue="1278.07" maxValue="1478726.6" count="1200">
        <x:n v="44284.62"/>
        <x:n v="454424"/>
        <x:n v="571020.6"/>
        <x:n v="88418.8"/>
        <x:n v="844188.18"/>
        <x:n v="873173.21"/>
        <x:n v="553789.18"/>
        <x:n v="477001.05"/>
        <x:n v="1135786.5"/>
        <x:n v="790819.6"/>
        <x:n v="195535.72"/>
        <x:n v="175050.18"/>
        <x:n v="27239.68"/>
        <x:n v="51416.58"/>
        <x:n v="57753.45"/>
        <x:n v="315108.57"/>
        <x:n v="521879.16"/>
        <x:n v="123879.73"/>
        <x:n v="206979.08"/>
        <x:n v="330267.12"/>
        <x:n v="102181.35"/>
        <x:n v="85958.28"/>
        <x:n v="105538.86"/>
        <x:n v="1073626.74"/>
        <x:n v="490081.52"/>
        <x:n v="126354.73"/>
        <x:n v="828523.84"/>
        <x:n v="20908.15"/>
        <x:n v="326179.92"/>
        <x:n v="84885.54"/>
        <x:n v="271304.15"/>
        <x:n v="547738"/>
        <x:n v="40947.81"/>
        <x:n v="281348.06"/>
        <x:n v="60563.76"/>
        <x:n v="86974.3"/>
        <x:n v="848380.56"/>
        <x:n v="120048.45"/>
        <x:n v="1212249.69"/>
        <x:n v="1278.07"/>
        <x:n v="264437.15"/>
        <x:n v="1054608.08"/>
        <x:n v="646376.64"/>
        <x:n v="274539.3"/>
        <x:n v="1457462.1"/>
        <x:n v="945283.68"/>
        <x:n v="400988.9"/>
        <x:n v="1797.68"/>
        <x:n v="162086.61"/>
        <x:n v="273247.52"/>
        <x:n v="425695.13"/>
        <x:n v="25106.84"/>
        <x:n v="666652.59"/>
        <x:n v="393871.92"/>
        <x:n v="12551.78"/>
        <x:n v="596951.5"/>
        <x:n v="736472.7"/>
        <x:n v="424222.08"/>
        <x:n v="59371.53"/>
        <x:n v="62193.12"/>
        <x:n v="491772.16"/>
        <x:n v="71332.6"/>
        <x:n v="721832.8"/>
        <x:n v="56671.3"/>
        <x:n v="341630.22"/>
        <x:n v="101544.1"/>
        <x:n v="309870.04"/>
        <x:n v="247760.3"/>
        <x:n v="427888.62"/>
        <x:n v="168823.5"/>
        <x:n v="1456306.9"/>
        <x:n v="461475.1"/>
        <x:n v="558002.5"/>
        <x:n v="529973.65"/>
        <x:n v="723968.75"/>
        <x:n v="733534.92"/>
        <x:n v="144592.8"/>
        <x:n v="319484.52"/>
        <x:n v="44304.19"/>
        <x:n v="166818.18"/>
        <x:n v="463434.16"/>
        <x:n v="261788.25"/>
        <x:n v="442833.08"/>
        <x:n v="89791.77"/>
        <x:n v="573822.88"/>
        <x:n v="1010857.5"/>
        <x:n v="241131.14"/>
        <x:n v="582644.02"/>
        <x:n v="361235.48"/>
        <x:n v="150257.66"/>
        <x:n v="1254714.2"/>
        <x:n v="833171.82"/>
        <x:n v="112502.92"/>
        <x:n v="781705.8"/>
        <x:n v="652419"/>
        <x:n v="834132.24"/>
        <x:n v="469035.65"/>
        <x:n v="15906.24"/>
        <x:n v="545484.78"/>
        <x:n v="220569.72"/>
        <x:n v="594867.14"/>
        <x:n v="143568.54"/>
        <x:n v="1142096.76"/>
        <x:n v="50425.41"/>
        <x:n v="734221.8"/>
        <x:n v="597357.2"/>
        <x:n v="229150.67"/>
        <x:n v="679095.24"/>
        <x:n v="138543.88"/>
        <x:n v="456545.88"/>
        <x:n v="122312.41"/>
        <x:n v="286930.42"/>
        <x:n v="615118.02"/>
        <x:n v="796952.7"/>
        <x:n v="197668.08"/>
        <x:n v="873100"/>
        <x:n v="215361.96"/>
        <x:n v="217832.2"/>
        <x:n v="92199.81"/>
        <x:n v="34030.58"/>
        <x:n v="165856.4"/>
        <x:n v="189812.85"/>
        <x:n v="218274.49"/>
        <x:n v="618459.06"/>
        <x:n v="127651.62"/>
        <x:n v="457118.32"/>
        <x:n v="696258.72"/>
        <x:n v="1084637.43"/>
        <x:n v="775038.87"/>
        <x:n v="88919.04"/>
        <x:n v="74715.18"/>
        <x:n v="549827.7"/>
        <x:n v="69577.98"/>
        <x:n v="411646.1"/>
        <x:n v="869358.9"/>
        <x:n v="572651.35"/>
        <x:n v="979628.8"/>
        <x:n v="193169.94"/>
        <x:n v="162236.72"/>
        <x:n v="34500.84"/>
        <x:n v="724474.88"/>
        <x:n v="430872.24"/>
        <x:n v="813185.31"/>
        <x:n v="605764.4"/>
        <x:n v="820491.03"/>
        <x:n v="19242.85"/>
        <x:n v="314673.24"/>
        <x:n v="455185.75"/>
        <x:n v="805678.8"/>
        <x:n v="238694.64"/>
        <x:n v="89920.88"/>
        <x:n v="255684.5"/>
        <x:n v="279699.54"/>
        <x:n v="123572.47"/>
        <x:n v="853745.64"/>
        <x:n v="129419.45"/>
        <x:n v="14868"/>
        <x:n v="448272.54"/>
        <x:n v="360438.03"/>
        <x:n v="8596.57"/>
        <x:n v="284549.94"/>
        <x:n v="33967.68"/>
        <x:n v="452361.84"/>
        <x:n v="435673.76"/>
        <x:n v="26336.14"/>
        <x:n v="396982.55"/>
        <x:n v="177443.4"/>
        <x:n v="739696.5"/>
        <x:n v="147841.14"/>
        <x:n v="506734.65"/>
        <x:n v="143742.77"/>
        <x:n v="72870.03"/>
        <x:n v="844882.56"/>
        <x:n v="1128077.4"/>
        <x:n v="726221.58"/>
        <x:n v="57153.85"/>
        <x:n v="158938.72"/>
        <x:n v="357735.65"/>
        <x:n v="189854"/>
        <x:n v="91271.95"/>
        <x:n v="237436.3"/>
        <x:n v="349086.9"/>
        <x:n v="154189.32"/>
        <x:n v="1152419.76"/>
        <x:n v="311694.03"/>
        <x:n v="892221.66"/>
        <x:n v="244329.25"/>
        <x:n v="162762.3"/>
        <x:n v="1310303.16"/>
        <x:n v="723442.02"/>
        <x:n v="1176975.52"/>
        <x:n v="683877.78"/>
        <x:n v="512847.12"/>
        <x:n v="266060.68"/>
        <x:n v="380973.78"/>
        <x:n v="441352.85"/>
        <x:n v="771540.35"/>
        <x:n v="23400.4"/>
        <x:n v="147070"/>
        <x:n v="1367179.1"/>
        <x:n v="979598.1"/>
        <x:n v="561787.12"/>
        <x:n v="1035795.51"/>
        <x:n v="437583.96"/>
        <x:n v="107366.24"/>
        <x:n v="59896.44"/>
        <x:n v="350950.05"/>
        <x:n v="244351.92"/>
        <x:n v="148289.12"/>
        <x:n v="362346.88"/>
        <x:n v="116601.87"/>
        <x:n v="188065.16"/>
        <x:n v="39637.85"/>
        <x:n v="590341.02"/>
        <x:n v="804152.43"/>
        <x:n v="91033.2"/>
        <x:n v="1269639.9"/>
        <x:n v="136139.16"/>
        <x:n v="221916.56"/>
        <x:n v="736790.75"/>
        <x:n v="817216.08"/>
        <x:n v="54235"/>
        <x:n v="676264.23"/>
        <x:n v="112356.14"/>
        <x:n v="392373"/>
        <x:n v="289574.88"/>
        <x:n v="162504.84"/>
        <x:n v="491493.96"/>
        <x:n v="94495.04"/>
        <x:n v="971737.12"/>
        <x:n v="712968.88"/>
        <x:n v="192478.79"/>
        <x:n v="399270.3"/>
        <x:n v="770061.7"/>
        <x:n v="541613.48"/>
        <x:n v="568109.71"/>
        <x:n v="145784.88"/>
        <x:n v="3311.44"/>
        <x:n v="81253.35"/>
        <x:n v="389004.4"/>
        <x:n v="13586.3"/>
        <x:n v="921248"/>
        <x:n v="31425.86"/>
        <x:n v="332076.88"/>
        <x:n v="552658.35"/>
        <x:n v="280781.27"/>
        <x:n v="431619.51"/>
        <x:n v="57565.2"/>
        <x:n v="124001.8"/>
        <x:n v="838320.91"/>
        <x:n v="327972.15"/>
        <x:n v="47057.68"/>
        <x:n v="839895.66"/>
        <x:n v="236493"/>
        <x:n v="55179.96"/>
        <x:n v="23761.08"/>
        <x:n v="13710.09"/>
        <x:n v="12773.65"/>
        <x:n v="4597.96"/>
        <x:n v="443287.44"/>
        <x:n v="400936.62"/>
        <x:n v="663560.15"/>
        <x:n v="989277.84"/>
        <x:n v="1394792.9"/>
        <x:n v="910388.36"/>
        <x:n v="1012358.8"/>
        <x:n v="398136.12"/>
        <x:n v="283618.98"/>
        <x:n v="704962.98"/>
        <x:n v="385913.4"/>
        <x:n v="119702.4"/>
        <x:n v="1017476.4"/>
        <x:n v="1221560.91"/>
        <x:n v="98587.63"/>
        <x:n v="265051.3"/>
        <x:n v="529454"/>
        <x:n v="118403.74"/>
        <x:n v="244391.48"/>
        <x:n v="128904.04"/>
        <x:n v="7249.7"/>
        <x:n v="138971.2"/>
        <x:n v="663697.37"/>
        <x:n v="771103.83"/>
        <x:n v="3723.35"/>
        <x:n v="416711.8"/>
        <x:n v="331041.78"/>
        <x:n v="129551.25"/>
        <x:n v="19907.28"/>
        <x:n v="243833.52"/>
        <x:n v="256366.2"/>
        <x:n v="438024.8"/>
        <x:n v="1131159.52"/>
        <x:n v="272986.8"/>
        <x:n v="494490.3"/>
        <x:n v="135134.33"/>
        <x:n v="609652.15"/>
        <x:n v="159966.25"/>
        <x:n v="732902.38"/>
        <x:n v="751828.92"/>
        <x:n v="47229.6"/>
        <x:n v="779689.26"/>
        <x:n v="192824.16"/>
        <x:n v="331778.5"/>
        <x:n v="407877.32"/>
        <x:n v="362728.29"/>
        <x:n v="1126005.5"/>
        <x:n v="753691"/>
        <x:n v="43727.88"/>
        <x:n v="98445.24"/>
        <x:n v="894258"/>
        <x:n v="193046.7"/>
        <x:n v="577837.08"/>
        <x:n v="372663.28"/>
        <x:n v="247725.04"/>
        <x:n v="1114164.5"/>
        <x:n v="89653.98"/>
        <x:n v="50325.25"/>
        <x:n v="694351.8"/>
        <x:n v="712312.55"/>
        <x:n v="438654.78"/>
        <x:n v="833071.26"/>
        <x:n v="355183.25"/>
        <x:n v="284960.61"/>
        <x:n v="573345.18"/>
        <x:n v="42041.88"/>
        <x:n v="61203.55"/>
        <x:n v="265050.72"/>
        <x:n v="297010.26"/>
        <x:n v="322718.88"/>
        <x:n v="370492.28"/>
        <x:n v="205606.34"/>
        <x:n v="33726.32"/>
        <x:n v="88889.43"/>
        <x:n v="225342.96"/>
        <x:n v="72658.53"/>
        <x:n v="195592.98"/>
        <x:n v="290932.11"/>
        <x:n v="1069680.7"/>
        <x:n v="957365.5"/>
        <x:n v="4820.35"/>
        <x:n v="892150.48"/>
        <x:n v="921094.47"/>
        <x:n v="150657.18"/>
        <x:n v="278008.62"/>
        <x:n v="348391.76"/>
        <x:n v="188828.5"/>
        <x:n v="29020.6"/>
        <x:n v="958313.93"/>
        <x:n v="439176.39"/>
        <x:n v="135728.52"/>
        <x:n v="1124440.4"/>
        <x:n v="220647.38"/>
        <x:n v="138992.16"/>
        <x:n v="525622.2"/>
        <x:n v="328454.76"/>
        <x:n v="118491.87"/>
        <x:n v="791174.2"/>
        <x:n v="929451.15"/>
        <x:n v="1066611.2"/>
        <x:n v="371926.98"/>
        <x:n v="942726.51"/>
        <x:n v="284187.75"/>
        <x:n v="94782.6"/>
        <x:n v="1102239.92"/>
        <x:n v="1458392.3"/>
        <x:n v="581829.16"/>
        <x:n v="147634.4"/>
        <x:n v="923833.4"/>
        <x:n v="824399.8"/>
        <x:n v="399922.92"/>
        <x:n v="393349.8"/>
        <x:n v="51114.5"/>
        <x:n v="14717.73"/>
        <x:n v="413329.84"/>
        <x:n v="45886.08"/>
        <x:n v="51642.27"/>
        <x:n v="107392.86"/>
        <x:n v="1167956.8"/>
        <x:n v="449673.6"/>
        <x:n v="67055.17"/>
        <x:n v="513995.02"/>
        <x:n v="847249.6"/>
        <x:n v="299463.3"/>
        <x:n v="588880.26"/>
        <x:n v="717607.03"/>
        <x:n v="396736.4"/>
        <x:n v="167406.48"/>
        <x:n v="145528.08"/>
        <x:n v="683725.86"/>
        <x:n v="421464.93"/>
        <x:n v="12611.16"/>
        <x:n v="1151886.08"/>
        <x:n v="71785.86"/>
        <x:n v="64072.88"/>
        <x:n v="134698.26"/>
        <x:n v="505423.1"/>
        <x:n v="919911.37"/>
        <x:n v="160126.72"/>
        <x:n v="320949.51"/>
        <x:n v="1143028.64"/>
        <x:n v="254203.86"/>
        <x:n v="169442.66"/>
        <x:n v="226158.96"/>
        <x:n v="922195.62"/>
        <x:n v="661984.9"/>
        <x:n v="139584.44"/>
        <x:n v="75640.86"/>
        <x:n v="773312.16"/>
        <x:n v="77441.9"/>
        <x:n v="222500.05"/>
        <x:n v="517887.24"/>
        <x:n v="95687.24"/>
        <x:n v="254993.88"/>
        <x:n v="73550.58"/>
        <x:n v="365928.12"/>
        <x:n v="87327.68"/>
        <x:n v="942832.96"/>
        <x:n v="997941.28"/>
        <x:n v="181122.35"/>
        <x:n v="212981.67"/>
        <x:n v="130024.14"/>
        <x:n v="916748.49"/>
        <x:n v="275184.24"/>
        <x:n v="263286.46"/>
        <x:n v="432308"/>
        <x:n v="295113.2"/>
        <x:n v="18692.55"/>
        <x:n v="96224.17"/>
        <x:n v="1152149.52"/>
        <x:n v="1189676.79"/>
        <x:n v="256695.12"/>
        <x:n v="175426.8"/>
        <x:n v="34790.38"/>
        <x:n v="778694.28"/>
        <x:n v="232387"/>
        <x:n v="182765.25"/>
        <x:n v="28226.13"/>
        <x:n v="691713.12"/>
        <x:n v="576120.24"/>
        <x:n v="25757.06"/>
        <x:n v="487733.22"/>
        <x:n v="419265.9"/>
        <x:n v="195946.62"/>
        <x:n v="718740.9"/>
        <x:n v="103900.18"/>
        <x:n v="195180.18"/>
        <x:n v="1125959.92"/>
        <x:n v="372331.35"/>
        <x:n v="113101.53"/>
        <x:n v="36643.2"/>
        <x:n v="176476.62"/>
        <x:n v="257775.1"/>
        <x:n v="239336.1"/>
        <x:n v="147279.1"/>
        <x:n v="369502.12"/>
        <x:n v="350591.7"/>
        <x:n v="766638.84"/>
        <x:n v="240636.16"/>
        <x:n v="1478726.6"/>
        <x:n v="234143.77"/>
        <x:n v="439011.65"/>
        <x:n v="725033.92"/>
        <x:n v="1264998.24"/>
        <x:n v="215757.2"/>
        <x:n v="128831.64"/>
        <x:n v="62102.4"/>
        <x:n v="223842.6"/>
        <x:n v="252300.18"/>
        <x:n v="931128.87"/>
        <x:n v="326599.56"/>
        <x:n v="104436.2"/>
        <x:n v="582022.96"/>
        <x:n v="226510.08"/>
        <x:n v="117174.39"/>
        <x:n v="851509.26"/>
        <x:n v="329487.15"/>
        <x:n v="675010.02"/>
        <x:n v="211923.9"/>
        <x:n v="188799.7"/>
        <x:n v="1316168.7"/>
        <x:n v="64062.54"/>
        <x:n v="115350.9"/>
        <x:n v="29275.83"/>
        <x:n v="906951.5"/>
        <x:n v="480441.1"/>
        <x:n v="380672.56"/>
        <x:n v="15198.66"/>
        <x:n v="551237.5"/>
        <x:n v="864322"/>
        <x:n v="137837.28"/>
        <x:n v="52720.86"/>
        <x:n v="57334.48"/>
        <x:n v="1089769.28"/>
        <x:n v="686863.24"/>
        <x:n v="497312.04"/>
        <x:n v="260958.38"/>
        <x:n v="85197"/>
        <x:n v="255407.04"/>
        <x:n v="75657.5"/>
        <x:n v="309615.99"/>
        <x:n v="636156.1"/>
        <x:n v="378595.63"/>
        <x:n v="601113.24"/>
        <x:n v="143514.2"/>
        <x:n v="307278.35"/>
        <x:n v="430900.25"/>
        <x:n v="753457.3"/>
        <x:n v="775182"/>
        <x:n v="35479.14"/>
        <x:n v="156245.4"/>
        <x:n v="153338.88"/>
        <x:n v="728883.24"/>
        <x:n v="1121761.12"/>
        <x:n v="265150.96"/>
        <x:n v="223273.24"/>
        <x:n v="778547.8"/>
        <x:n v="763076.88"/>
        <x:n v="184696.75"/>
        <x:n v="723061.04"/>
        <x:n v="731995.52"/>
        <x:n v="422944.5"/>
        <x:n v="869847.9"/>
        <x:n v="78141"/>
        <x:n v="258361.32"/>
        <x:n v="441498.78"/>
        <x:n v="608113.14"/>
        <x:n v="185393.5"/>
        <x:n v="210473.28"/>
        <x:n v="54593.72"/>
        <x:n v="526567.79"/>
        <x:n v="117405.72"/>
        <x:n v="159051.58"/>
        <x:n v="532720.72"/>
        <x:n v="530216.64"/>
        <x:n v="760421.41"/>
        <x:n v="446722.08"/>
        <x:n v="254128.22"/>
        <x:n v="504241.15"/>
        <x:n v="1049965.84"/>
        <x:n v="79696.2"/>
        <x:n v="369237"/>
        <x:n v="1413023.6"/>
        <x:n v="234529.92"/>
        <x:n v="65340.12"/>
        <x:n v="621777.9"/>
        <x:n v="337426.68"/>
        <x:n v="983174.5"/>
        <x:n v="473047.29"/>
        <x:n v="254167.45"/>
        <x:n v="496436.36"/>
        <x:n v="267691.25"/>
        <x:n v="356723.7"/>
        <x:n v="737636.7"/>
        <x:n v="326208.32"/>
        <x:n v="13316.8"/>
        <x:n v="16854.75"/>
        <x:n v="136548.79"/>
        <x:n v="570332.25"/>
        <x:n v="570463.39"/>
        <x:n v="693481.05"/>
        <x:n v="356389.8"/>
        <x:n v="39517.78"/>
        <x:n v="473653.12"/>
        <x:n v="22315.3"/>
        <x:n v="281139.9"/>
        <x:n v="711238.71"/>
        <x:n v="1192549.5"/>
        <x:n v="16984.17"/>
        <x:n v="210531.52"/>
        <x:n v="327941.58"/>
        <x:n v="95921.56"/>
        <x:n v="602918.8"/>
        <x:n v="21272.41"/>
        <x:n v="365600.76"/>
        <x:n v="251836.14"/>
        <x:n v="91156.08"/>
        <x:n v="53702.4"/>
        <x:n v="744293.2"/>
        <x:n v="1025228.82"/>
        <x:n v="1326020.2"/>
        <x:n v="142191.81"/>
        <x:n v="1033228.42"/>
        <x:n v="129112.32"/>
        <x:n v="235126.9"/>
        <x:n v="863713.28"/>
        <x:n v="825642.78"/>
        <x:n v="112323.94"/>
        <x:n v="731400.72"/>
        <x:n v="2435.85"/>
        <x:n v="56943.12"/>
        <x:n v="571006.8"/>
        <x:n v="22088.58"/>
        <x:n v="64362.84"/>
        <x:n v="284520.84"/>
        <x:n v="111591.6"/>
        <x:n v="352841.73"/>
        <x:n v="227707.04"/>
        <x:n v="492299.2"/>
        <x:n v="454851.67"/>
        <x:n v="219237.83"/>
        <x:n v="873545.94"/>
        <x:n v="387659.6"/>
        <x:n v="234813.3"/>
        <x:n v="316633.29"/>
        <x:n v="376873.12"/>
        <x:n v="734070.24"/>
        <x:n v="1274077.17"/>
        <x:n v="265087.48"/>
        <x:n v="623904.7"/>
        <x:n v="711541.25"/>
        <x:n v="213817.6"/>
        <x:n v="238024.65"/>
        <x:n v="399836.3"/>
        <x:n v="103783.64"/>
        <x:n v="445355.01"/>
        <x:n v="34836.42"/>
        <x:n v="703245.34"/>
        <x:n v="110502.2"/>
        <x:n v="73082.8"/>
        <x:n v="903103.92"/>
        <x:n v="297367.2"/>
        <x:n v="378273.5"/>
        <x:n v="19796.99"/>
        <x:n v="953902.3"/>
        <x:n v="535931.97"/>
        <x:n v="393688.98"/>
        <x:n v="431148.28"/>
        <x:n v="198508.23"/>
        <x:n v="8506.11"/>
        <x:n v="154887.72"/>
        <x:n v="147713.65"/>
        <x:n v="975748.23"/>
        <x:n v="134313.93"/>
        <x:n v="378853.8"/>
        <x:n v="117667.42"/>
        <x:n v="250487.6"/>
        <x:n v="1186005.3"/>
        <x:n v="731562.65"/>
        <x:n v="11517"/>
        <x:n v="1158355.71"/>
        <x:n v="92526.36"/>
        <x:n v="367597.92"/>
        <x:n v="589908.97"/>
        <x:n v="147952.74"/>
        <x:n v="563650.75"/>
        <x:n v="524006.96"/>
        <x:n v="103751.4"/>
        <x:n v="57007.62"/>
        <x:n v="494795.12"/>
        <x:n v="120364.44"/>
        <x:n v="419820.3"/>
        <x:n v="298168.2"/>
        <x:n v="221124.66"/>
        <x:n v="570455.85"/>
        <x:n v="137508.72"/>
        <x:n v="755754.66"/>
        <x:n v="211819.12"/>
        <x:n v="774348.19"/>
        <x:n v="517323.59"/>
        <x:n v="574559.84"/>
        <x:n v="376798.14"/>
        <x:n v="64947.81"/>
        <x:n v="31183.84"/>
        <x:n v="80335.5"/>
        <x:n v="220156.16"/>
        <x:n v="680345.52"/>
        <x:n v="48036.81"/>
        <x:n v="835317"/>
        <x:n v="710866.16"/>
        <x:n v="737127.15"/>
        <x:n v="67401.75"/>
        <x:n v="83553.06"/>
        <x:n v="1286933.3"/>
        <x:n v="122508"/>
        <x:n v="39851.07"/>
        <x:n v="219194.52"/>
        <x:n v="275502.7"/>
        <x:n v="115746.44"/>
        <x:n v="132962.48"/>
        <x:n v="362678.72"/>
        <x:n v="240820.11"/>
        <x:n v="386286.24"/>
        <x:n v="467142.24"/>
        <x:n v="874256.4"/>
        <x:n v="29664.45"/>
        <x:n v="449485.52"/>
        <x:n v="167520.84"/>
        <x:n v="804661.11"/>
        <x:n v="123585.12"/>
        <x:n v="146361.75"/>
        <x:n v="246000.93"/>
        <x:n v="854668.14"/>
        <x:n v="333067.9"/>
        <x:n v="415301.19"/>
        <x:n v="769565.84"/>
        <x:n v="235833.36"/>
        <x:n v="137704.42"/>
        <x:n v="28885.71"/>
        <x:n v="849811.6"/>
        <x:n v="153028.17"/>
        <x:n v="817667.41"/>
        <x:n v="16211.66"/>
        <x:n v="591995.5"/>
        <x:n v="871419.84"/>
        <x:n v="10528.62"/>
        <x:n v="374338.8"/>
        <x:n v="179265.36"/>
        <x:n v="1039055"/>
        <x:n v="32500.17"/>
        <x:n v="101562.5"/>
        <x:n v="563413.7"/>
        <x:n v="403758.05"/>
        <x:n v="128948.39"/>
        <x:n v="66201.89"/>
        <x:n v="172081.71"/>
        <x:n v="20942.72"/>
        <x:n v="852063.84"/>
        <x:n v="281435.6"/>
        <x:n v="855538.38"/>
        <x:n v="5463.6"/>
        <x:n v="13457.71"/>
        <x:n v="125987.1"/>
        <x:n v="177788.79"/>
        <x:n v="388750.2"/>
        <x:n v="363978.09"/>
        <x:n v="347139.9"/>
        <x:n v="49640.22"/>
        <x:n v="315431.5"/>
        <x:n v="312694.48"/>
        <x:n v="856047.92"/>
        <x:n v="84877.1"/>
        <x:n v="477555.76"/>
        <x:n v="540038.17"/>
        <x:n v="711534.95"/>
        <x:n v="528836.13"/>
        <x:n v="147399.54"/>
        <x:n v="1300012.02"/>
        <x:n v="293780.56"/>
        <x:n v="417375.68"/>
        <x:n v="686886.12"/>
        <x:n v="250477.8"/>
        <x:n v="145450.56"/>
        <x:n v="638664.54"/>
        <x:n v="105983.97"/>
        <x:n v="1143015.28"/>
        <x:n v="102856.46"/>
        <x:n v="413885.88"/>
        <x:n v="102492.06"/>
        <x:n v="117168.3"/>
        <x:n v="325251.66"/>
        <x:n v="240872.28"/>
        <x:n v="978679.6"/>
        <x:n v="318872.25"/>
        <x:n v="1313876.4"/>
        <x:n v="286585.76"/>
        <x:n v="142148.59"/>
        <x:n v="219276.78"/>
        <x:n v="341064.48"/>
        <x:n v="1114547.04"/>
        <x:n v="144298.42"/>
        <x:n v="589860.54"/>
        <x:n v="274932.44"/>
        <x:n v="195625.12"/>
        <x:n v="748474.86"/>
        <x:n v="1150798.8"/>
        <x:n v="914586.7"/>
        <x:n v="489185.28"/>
        <x:n v="212326.44"/>
        <x:n v="259811.4"/>
        <x:n v="18185.76"/>
        <x:n v="15781.56"/>
        <x:n v="12304.51"/>
        <x:n v="132986.68"/>
        <x:n v="446615.1"/>
        <x:n v="1045466.72"/>
        <x:n v="119673.24"/>
        <x:n v="26600.67"/>
        <x:n v="83263.48"/>
        <x:n v="1482.84"/>
        <x:n v="91987.65"/>
        <x:n v="355230.12"/>
        <x:n v="252877.68"/>
        <x:n v="24718.05"/>
        <x:n v="505075.92"/>
        <x:n v="202496.44"/>
        <x:n v="58405.67"/>
        <x:n v="422583.04"/>
        <x:n v="406671"/>
        <x:n v="257734.3"/>
        <x:n v="1014469.54"/>
        <x:n v="382698.96"/>
        <x:n v="815013.5"/>
        <x:n v="45117.64"/>
        <x:n v="42440"/>
        <x:n v="568618.4"/>
        <x:n v="61283.12"/>
        <x:n v="355543.16"/>
        <x:n v="383327.76"/>
        <x:n v="65656.31"/>
        <x:n v="122996.34"/>
        <x:n v="408301.35"/>
        <x:n v="506613.25"/>
        <x:n v="871505.44"/>
        <x:n v="1205712.63"/>
        <x:n v="111982.08"/>
        <x:n v="625725.6"/>
        <x:n v="262999.44"/>
        <x:n v="45316.4"/>
        <x:n v="987594.65"/>
        <x:n v="566315.75"/>
        <x:n v="243400.56"/>
        <x:n v="173792.28"/>
        <x:n v="1016550.57"/>
        <x:n v="132926.05"/>
        <x:n v="1277386.83"/>
        <x:n v="397078.96"/>
        <x:n v="444157.8"/>
        <x:n v="507689.28"/>
        <x:n v="442322.73"/>
        <x:n v="225190.8"/>
        <x:n v="860876.38"/>
        <x:n v="392833.75"/>
        <x:n v="26908.34"/>
        <x:n v="118938.51"/>
        <x:n v="237746.56"/>
        <x:n v="107235.25"/>
        <x:n v="609328.79"/>
        <x:n v="575106.1"/>
        <x:n v="24351.44"/>
        <x:n v="499476.1"/>
        <x:n v="573287.22"/>
        <x:n v="512675.45"/>
        <x:n v="918145.53"/>
        <x:n v="228851.28"/>
        <x:n v="6288.31"/>
        <x:n v="657820.38"/>
        <x:n v="416049.84"/>
        <x:n v="914026.8"/>
        <x:n v="804640.08"/>
        <x:n v="62718.1"/>
        <x:n v="350512.65"/>
        <x:n v="669721.5"/>
        <x:n v="551283.39"/>
        <x:n v="496732.41"/>
        <x:n v="879193.77"/>
        <x:n v="1326438.2"/>
        <x:n v="425588.13"/>
        <x:n v="1151301.04"/>
        <x:n v="315715.88"/>
        <x:n v="110670.58"/>
        <x:n v="224210.16"/>
        <x:n v="674219.68"/>
        <x:n v="209823.58"/>
        <x:n v="363731.61"/>
        <x:n v="919936.2"/>
        <x:n v="22451.52"/>
        <x:n v="28908.59"/>
        <x:n v="446977.36"/>
        <x:n v="79829.08"/>
        <x:n v="573398.6"/>
        <x:n v="443590.08"/>
        <x:n v="940030.5"/>
        <x:n v="77463.9"/>
        <x:n v="18434.76"/>
        <x:n v="1110541.68"/>
        <x:n v="391681.74"/>
        <x:n v="97418.58"/>
        <x:n v="162310.65"/>
        <x:n v="140816.18"/>
        <x:n v="756462.72"/>
        <x:n v="630921.18"/>
        <x:n v="1165161.42"/>
        <x:n v="113444.04"/>
        <x:n v="368509.08"/>
        <x:n v="209607.03"/>
        <x:n v="269159.76"/>
        <x:n v="357626.1"/>
        <x:n v="364975.4"/>
        <x:n v="56614.7"/>
        <x:n v="412250.22"/>
        <x:n v="168123.76"/>
        <x:n v="216161.34"/>
        <x:n v="491276.79"/>
        <x:n v="133975.4"/>
        <x:n v="399238.68"/>
        <x:n v="485453.24"/>
        <x:n v="994467.44"/>
        <x:n v="946399.59"/>
        <x:n v="547169.4"/>
        <x:n v="647035.68"/>
        <x:n v="17455.02"/>
        <x:n v="429655.68"/>
        <x:n v="11795.41"/>
        <x:n v="578850.78"/>
        <x:n v="888531.21"/>
        <x:n v="64067.91"/>
        <x:n v="157517.58"/>
        <x:n v="131546.4"/>
        <x:n v="87543.61"/>
        <x:n v="862862.35"/>
        <x:n v="839335.92"/>
        <x:n v="139908.56"/>
        <x:n v="481883.67"/>
        <x:n v="176031.25"/>
        <x:n v="107815.83"/>
        <x:n v="811421.8"/>
        <x:n v="50439"/>
        <x:n v="472233.23"/>
        <x:n v="504545.16"/>
        <x:n v="30717.96"/>
        <x:n v="264646.4"/>
        <x:n v="595224.52"/>
        <x:n v="498110.7"/>
        <x:n v="215746.04"/>
        <x:n v="276494.88"/>
        <x:n v="213504.8"/>
        <x:n v="80190.1"/>
        <x:n v="99314.11"/>
        <x:n v="193258.5"/>
        <x:n v="302055.81"/>
        <x:n v="471371.58"/>
        <x:n v="224632.58"/>
        <x:n v="215105.66"/>
        <x:n v="369278.88"/>
        <x:n v="651963.55"/>
        <x:n v="202104.2"/>
        <x:n v="243003.84"/>
        <x:n v="200779.08"/>
        <x:n v="197870.31"/>
        <x:n v="791503"/>
        <x:n v="320357.84"/>
        <x:n v="395383.92"/>
        <x:n v="959757.52"/>
        <x:n v="538224.2"/>
        <x:n v="695395.26"/>
        <x:n v="78572.16"/>
        <x:n v="1204244.9"/>
        <x:n v="325137"/>
        <x:n v="71527.52"/>
        <x:n v="871958.2"/>
        <x:n v="1106829.5"/>
        <x:n v="1026147.96"/>
        <x:n v="389605.56"/>
        <x:n v="692263.02"/>
        <x:n v="1319693.9"/>
        <x:n v="1040683.2"/>
        <x:n v="49261.62"/>
        <x:n v="31323.12"/>
        <x:n v="202212.36"/>
        <x:n v="516442.08"/>
        <x:n v="400798.93"/>
        <x:n v="560432.6"/>
        <x:n v="2826.33"/>
        <x:n v="486809.15"/>
        <x:n v="577028.82"/>
        <x:n v="285144"/>
        <x:n v="8341.48"/>
        <x:n v="88782.64"/>
        <x:n v="771693.04"/>
        <x:n v="632542.32"/>
        <x:n v="57912.15"/>
        <x:n v="965547.36"/>
        <x:n v="89751.78"/>
        <x:n v="529999.8"/>
        <x:n v="95838.92"/>
        <x:n v="323916.3"/>
        <x:n v="425347.08"/>
        <x:n v="138116.86"/>
        <x:n v="406605.7"/>
        <x:n v="136099.96"/>
        <x:n v="1465.05"/>
        <x:n v="258735.64"/>
        <x:n v="275652.02"/>
        <x:n v="393390.36"/>
        <x:n v="239166.54"/>
        <x:n v="122950.35"/>
        <x:n v="256251.64"/>
        <x:n v="551310.21"/>
        <x:n v="1317132.5"/>
        <x:n v="467783.24"/>
        <x:n v="61736.58"/>
        <x:n v="963320.16"/>
        <x:n v="197619.02"/>
        <x:n v="1201136.04"/>
        <x:n v="963807.74"/>
        <x:n v="152088.3"/>
        <x:n v="771069.3"/>
        <x:n v="253614.06"/>
        <x:n v="922669.56"/>
        <x:n v="57209.44"/>
        <x:n v="941596.96"/>
        <x:n v="539794.53"/>
        <x:n v="76498.24"/>
        <x:n v="287303"/>
        <x:n v="204240"/>
        <x:n v="48514.7"/>
        <x:n v="882652.72"/>
        <x:n v="81450.96"/>
        <x:n v="450538.69"/>
        <x:n v="184237.71"/>
        <x:n v="131733.2"/>
        <x:n v="32139.91"/>
        <x:n v="564624.65"/>
        <x:n v="31925.36"/>
        <x:n v="141268.19"/>
        <x:n v="114630.84"/>
        <x:n v="315531.42"/>
        <x:n v="540248.36"/>
        <x:n v="437255.19"/>
        <x:n v="802301.71"/>
        <x:n v="120155.34"/>
        <x:n v="246167.07"/>
        <x:n v="196021.63"/>
        <x:n v="901494.8"/>
        <x:n v="1001305.06"/>
        <x:n v="47881.89"/>
        <x:n v="147009.12"/>
        <x:n v="525831.32"/>
        <x:n v="692491.12"/>
        <x:n v="17086.56"/>
        <x:n v="143783.32"/>
        <x:n v="233545.12"/>
        <x:n v="125467.53"/>
        <x:n v="751577.76"/>
        <x:n v="1188075.69"/>
        <x:n v="396509.8"/>
        <x:n v="680038.02"/>
        <x:n v="405526.86"/>
        <x:n v="280209.5"/>
        <x:n v="459642.55"/>
        <x:n v="504286.2"/>
        <x:n v="294823.56"/>
        <x:n v="17393.46"/>
        <x:n v="1274688.9"/>
        <x:n v="71163.94"/>
        <x:n v="514387.74"/>
        <x:n v="245847.1"/>
        <x:n v="633615.45"/>
        <x:n v="299604.6"/>
        <x:n v="312418.02"/>
        <x:n v="451268.08"/>
        <x:n v="588654.48"/>
        <x:n v="349013"/>
        <x:n v="683685.12"/>
        <x:n v="240802.59"/>
        <x:n v="595738.56"/>
        <x:n v="500380.8"/>
        <x:n v="74236.44"/>
        <x:n v="30436.19"/>
        <x:n v="623042.55"/>
        <x:n v="667988.1"/>
        <x:n v="118635.12"/>
        <x:n v="1016828.89"/>
        <x:n v="92782.53"/>
        <x:n v="10977.55"/>
        <x:n v="430499.44"/>
        <x:n v="304516.8"/>
        <x:n v="998671.76"/>
        <x:n v="59783.61"/>
        <x:n v="94482.32"/>
        <x:n v="109419.68"/>
        <x:n v="648617.8"/>
        <x:n v="268362.68"/>
        <x:n v="677051.85"/>
        <x:n v="51260.99"/>
        <x:n v="80711.66"/>
        <x:n v="333309.34"/>
        <x:n v="952729.33"/>
        <x:n v="81895.51"/>
        <x:n v="799607.16"/>
        <x:n v="441316.75"/>
        <x:n v="131787.2"/>
        <x:n v="395411.92"/>
        <x:n v="291766.08"/>
        <x:n v="460129.8"/>
        <x:n v="823860.66"/>
        <x:n v="39158.4"/>
        <x:n v="299764.1"/>
        <x:n v="800477.84"/>
        <x:n v="1141937.68"/>
        <x:n v="428343.8"/>
        <x:n v="263904.24"/>
        <x:n v="139030.95"/>
        <x:n v="1301898.06"/>
        <x:n v="108917.1"/>
        <x:n v="124806.53"/>
        <x:n v="78797.16"/>
        <x:n v="537737.76"/>
        <x:n v="380227.8"/>
        <x:n v="140145.7"/>
        <x:n v="913397.5"/>
        <x:n v="126211.14"/>
        <x:n v="249045.93"/>
        <x:n v="437261.4"/>
        <x:n v="668586.3"/>
        <x:n v="208234.6"/>
        <x:n v="161654.28"/>
        <x:n v="97891.69"/>
        <x:n v="876771.18"/>
        <x:n v="130218.82"/>
        <x:n v="541789.99"/>
        <x:n v="805013.65"/>
        <x:n v="79385.04"/>
        <x:n v="83540.6"/>
        <x:n v="429024.63"/>
        <x:n v="410790.54"/>
        <x:n v="28440.23"/>
        <x:n v="511999.76"/>
        <x:n v="388600.16"/>
        <x:n v="112220.24"/>
        <x:n v="214243.82"/>
        <x:n v="62390.58"/>
        <x:n v="190814.46"/>
        <x:n v="570356.43"/>
        <x:n v="1093639.8"/>
        <x:n v="24921.36"/>
        <x:n v="791140.23"/>
        <x:n v="403154.13"/>
        <x:n v="583662.2"/>
        <x:n v="885413.92"/>
        <x:n v="477133.44"/>
        <x:n v="175477.24"/>
        <x:n v="56767.35"/>
        <x:n v="153801.4"/>
        <x:n v="220910.67"/>
        <x:n v="806841.99"/>
        <x:n v="1166614.88"/>
        <x:n v="596988.55"/>
        <x:n v="105389.1"/>
        <x:n v="1091220.8"/>
        <x:n v="58202.02"/>
        <x:n v="672092.96"/>
        <x:n v="1129518.64"/>
        <x:n v="392900.16"/>
        <x:n v="41678.31"/>
        <x:n v="354411.2"/>
        <x:n v="692589.52"/>
        <x:n v="223578.88"/>
        <x:n v="809369.68"/>
        <x:n v="221773.68"/>
        <x:n v="575834.32"/>
        <x:n v="436710.06"/>
        <x:n v="544530.66"/>
        <x:n v="1338795.6"/>
        <x:n v="458499.05"/>
        <x:n v="165839.15"/>
        <x:n v="555164.32"/>
        <x:n v="720964.6"/>
        <x:n v="90143.13"/>
        <x:n v="75202.33"/>
        <x:n v="269956.95"/>
        <x:n v="345376.57"/>
        <x:n v="107993.43"/>
        <x:n v="1000501.67"/>
        <x:n v="63940.88"/>
        <x:n v="9799.32"/>
        <x:n v="358253.1"/>
        <x:n v="686927.3"/>
        <x:n v="770116.05"/>
        <x:n v="462274.9"/>
        <x:n v="77144.55"/>
        <x:n v="34543.55"/>
        <x:n v="242723.92"/>
        <x:n v="916213.04"/>
        <x:n v="37489.5"/>
        <x:n v="82811"/>
        <x:n v="216063.4"/>
        <x:n v="298708.41"/>
        <x:n v="104224.66"/>
        <x:n v="155142.9"/>
        <x:n v="754744.64"/>
        <x:n v="1046826.54"/>
        <x:n v="388111.5"/>
        <x:n v="168341.84"/>
        <x:n v="695647.61"/>
        <x:n v="45370.1"/>
        <x:n v="136086.85"/>
        <x:n v="601338.3"/>
        <x:n v="942881.67"/>
        <x:n v="648603"/>
        <x:n v="856079.82"/>
        <x:n v="354644.6"/>
        <x:n v="571023.88"/>
        <x:n v="954229.57"/>
        <x:n v="396408.68"/>
        <x:n v="557308.16"/>
        <x:n v="1200439.1"/>
        <x:n v="12346.46"/>
        <x:n v="30022.7"/>
        <x:n v="1256934.51"/>
        <x:n v="1336724.7"/>
        <x:n v="687799.28"/>
        <x:n v="25491.18"/>
        <x:n v="885454.02"/>
        <x:n v="439696.46"/>
        <x:n v="1199632.32"/>
        <x:n v="803465.04"/>
        <x:n v="436047.93"/>
        <x:n v="891678.6"/>
        <x:n v="12334.05"/>
      </x:sharedItems>
    </x:cacheField>
    <x:cacheField name="Month">
      <x:sharedItems count="12">
        <x:s v="2023-01"/>
        <x:s v="2023-02"/>
        <x:s v="2023-03"/>
        <x:s v="2023-04"/>
        <x:s v="2023-05"/>
        <x:s v="2023-06"/>
        <x:s v="2023-07"/>
        <x:s v="2023-08"/>
        <x:s v="2023-09"/>
        <x:s v="2023-10"/>
        <x:s v="2023-11"/>
        <x:s v="2023-12"/>
      </x:sharedItems>
    </x:cacheField>
    <x:cacheField name="RevenueRank">
      <x:sharedItems containsSemiMixedTypes="0" containsString="0" containsNumber="1" containsInteger="1" minValue="1" maxValue="1200" count="1200">
        <x:n v="1099"/>
        <x:n v="448"/>
        <x:n v="347"/>
        <x:n v="998"/>
        <x:n v="170"/>
        <x:n v="148"/>
        <x:n v="364"/>
        <x:n v="430"/>
        <x:n v="52"/>
        <x:n v="203"/>
        <x:n v="795"/>
        <x:n v="820"/>
        <x:n v="1135"/>
        <x:n v="1081"/>
        <x:n v="1065"/>
        <x:n v="621"/>
        <x:n v="392"/>
        <x:n v="917"/>
        <x:n v="780"/>
        <x:n v="601"/>
        <x:n v="968"/>
        <x:n v="1002"/>
        <x:n v="959"/>
        <x:n v="69"/>
        <x:n v="421"/>
        <x:n v="911"/>
        <x:n v="178"/>
        <x:n v="1152"/>
        <x:n v="608"/>
        <x:n v="1004"/>
        <x:n v="668"/>
        <x:n v="370"/>
        <x:n v="1104"/>
        <x:n v="654"/>
        <x:n v="1058"/>
        <x:n v="1001"/>
        <x:n v="167"/>
        <x:n v="926"/>
        <x:n v="28"/>
        <x:n v="1200"/>
        <x:n v="679"/>
        <x:n v="72"/>
        <x:n v="299"/>
        <x:n v="665"/>
        <x:n v="3"/>
        <x:n v="111"/>
        <x:n v="513"/>
        <x:n v="1197"/>
        <x:n v="836"/>
        <x:n v="666"/>
        <x:n v="488"/>
        <x:n v="1141"/>
        <x:n v="289"/>
        <x:n v="528"/>
        <x:n v="1176"/>
        <x:n v="320"/>
        <x:n v="235"/>
        <x:n v="491"/>
        <x:n v="1061"/>
        <x:n v="1053"/>
        <x:n v="418"/>
        <x:n v="1037"/>
        <x:n v="250"/>
        <x:n v="1073"/>
        <x:n v="593"/>
        <x:n v="970"/>
        <x:n v="626"/>
        <x:n v="706"/>
        <x:n v="487"/>
        <x:n v="824"/>
        <x:n v="4"/>
        <x:n v="440"/>
        <x:n v="361"/>
        <x:n v="385"/>
        <x:n v="247"/>
        <x:n v="238"/>
        <x:n v="866"/>
        <x:n v="615"/>
        <x:n v="1098"/>
        <x:n v="829"/>
        <x:n v="438"/>
        <x:n v="683"/>
        <x:n v="462"/>
        <x:n v="992"/>
        <x:n v="341"/>
        <x:n v="87"/>
        <x:n v="718"/>
        <x:n v="331"/>
        <x:n v="572"/>
        <x:n v="852"/>
        <x:n v="26"/>
        <x:n v="176"/>
        <x:n v="943"/>
        <x:n v="204"/>
        <x:n v="294"/>
        <x:n v="175"/>
        <x:n v="435"/>
        <x:n v="1165"/>
        <x:n v="372"/>
        <x:n v="755"/>
        <x:n v="323"/>
        <x:n v="870"/>
        <x:n v="50"/>
        <x:n v="1085"/>
        <x:n v="236"/>
        <x:n v="318"/>
        <x:n v="737"/>
        <x:n v="280"/>
        <x:n v="882"/>
        <x:n v="445"/>
        <x:n v="923"/>
        <x:n v="645"/>
        <x:n v="310"/>
        <x:n v="199"/>
        <x:n v="789"/>
        <x:n v="149"/>
        <x:n v="766"/>
        <x:n v="761"/>
        <x:n v="985"/>
        <x:n v="1116"/>
        <x:n v="830"/>
        <x:n v="804"/>
        <x:n v="760"/>
        <x:n v="309"/>
        <x:n v="910"/>
        <x:n v="444"/>
        <x:n v="262"/>
        <x:n v="68"/>
        <x:n v="209"/>
        <x:n v="995"/>
        <x:n v="1029"/>
        <x:n v="369"/>
        <x:n v="1039"/>
        <x:n v="504"/>
        <x:n v="154"/>
        <x:n v="345"/>
        <x:n v="96"/>
        <x:n v="798"/>
        <x:n v="835"/>
        <x:n v="1115"/>
        <x:n v="246"/>
        <x:n v="482"/>
        <x:n v="186"/>
        <x:n v="314"/>
        <x:n v="182"/>
        <x:n v="1155"/>
        <x:n v="622"/>
        <x:n v="446"/>
        <x:n v="190"/>
        <x:n v="725"/>
        <x:n v="991"/>
        <x:n v="693"/>
        <x:n v="658"/>
        <x:n v="919"/>
        <x:n v="163"/>
        <x:n v="905"/>
        <x:n v="1168"/>
        <x:n v="454"/>
        <x:n v="573"/>
        <x:n v="1185"/>
        <x:n v="649"/>
        <x:n v="1117"/>
        <x:n v="449"/>
        <x:n v="477"/>
        <x:n v="1138"/>
        <x:n v="522"/>
        <x:n v="815"/>
        <x:n v="231"/>
        <x:n v="855"/>
        <x:n v="402"/>
        <x:n v="869"/>
        <x:n v="1033"/>
        <x:n v="169"/>
        <x:n v="55"/>
        <x:n v="244"/>
        <x:n v="1069"/>
        <x:n v="841"/>
        <x:n v="575"/>
        <x:n v="803"/>
        <x:n v="987"/>
        <x:n v="728"/>
        <x:n v="588"/>
        <x:n v="846"/>
        <x:n v="43"/>
        <x:n v="625"/>
        <x:n v="137"/>
        <x:n v="713"/>
        <x:n v="832"/>
        <x:n v="16"/>
        <x:n v="248"/>
        <x:n v="38"/>
        <x:n v="275"/>
        <x:n v="398"/>
        <x:n v="673"/>
        <x:n v="546"/>
        <x:n v="465"/>
        <x:n v="213"/>
        <x:n v="1146"/>
        <x:n v="860"/>
        <x:n v="7"/>
        <x:n v="97"/>
        <x:n v="359"/>
        <x:n v="78"/>
        <x:n v="472"/>
        <x:n v="956"/>
        <x:n v="1059"/>
        <x:n v="585"/>
        <x:n v="712"/>
        <x:n v="853"/>
        <x:n v="571"/>
        <x:n v="937"/>
        <x:n v="807"/>
        <x:n v="1106"/>
        <x:n v="325"/>
        <x:n v="194"/>
        <x:n v="989"/>
        <x:n v="23"/>
        <x:n v="888"/>
        <x:n v="750"/>
        <x:n v="234"/>
        <x:n v="184"/>
        <x:n v="1077"/>
        <x:n v="282"/>
        <x:n v="944"/>
        <x:n v="534"/>
        <x:n v="643"/>
        <x:n v="833"/>
        <x:n v="419"/>
        <x:n v="981"/>
        <x:n v="100"/>
        <x:n v="254"/>
        <x:n v="801"/>
        <x:n v="518"/>
        <x:n v="217"/>
        <x:n v="375"/>
        <x:n v="354"/>
        <x:n v="863"/>
        <x:n v="1194"/>
        <x:n v="1012"/>
        <x:n v="537"/>
        <x:n v="1171"/>
        <x:n v="122"/>
        <x:n v="1122"/>
        <x:n v="598"/>
        <x:n v="365"/>
        <x:n v="656"/>
        <x:n v="479"/>
        <x:n v="1066"/>
        <x:n v="916"/>
        <x:n v="173"/>
        <x:n v="604"/>
        <x:n v="1093"/>
        <x:n v="171"/>
        <x:n v="729"/>
        <x:n v="1075"/>
        <x:n v="1145"/>
        <x:n v="1170"/>
        <x:n v="1174"/>
        <x:n v="1192"/>
        <x:n v="461"/>
        <x:n v="514"/>
        <x:n v="291"/>
        <x:n v="93"/>
        <x:n v="6"/>
        <x:n v="132"/>
        <x:n v="86"/>
        <x:n v="520"/>
        <x:n v="652"/>
        <x:n v="260"/>
        <x:n v="543"/>
        <x:n v="927"/>
        <x:n v="82"/>
        <x:n v="27"/>
        <x:n v="972"/>
        <x:n v="676"/>
        <x:n v="386"/>
        <x:n v="932"/>
        <x:n v="711"/>
        <x:n v="908"/>
        <x:n v="1188"/>
        <x:n v="881"/>
        <x:n v="290"/>
        <x:n v="214"/>
        <x:n v="1193"/>
        <x:n v="498"/>
        <x:n v="600"/>
        <x:n v="904"/>
        <x:n v="1153"/>
        <x:n v="714"/>
        <x:n v="691"/>
        <x:n v="471"/>
        <x:n v="53"/>
        <x:n v="667"/>
        <x:n v="416"/>
        <x:n v="892"/>
        <x:n v="311"/>
        <x:n v="839"/>
        <x:n v="239"/>
        <x:n v="227"/>
        <x:n v="1092"/>
        <x:n v="205"/>
        <x:n v="800"/>
        <x:n v="599"/>
        <x:n v="507"/>
        <x:n v="569"/>
        <x:n v="56"/>
        <x:n v="225"/>
        <x:n v="1100"/>
        <x:n v="973"/>
        <x:n v="136"/>
        <x:n v="799"/>
        <x:n v="335"/>
        <x:n v="555"/>
        <x:n v="707"/>
        <x:n v="61"/>
        <x:n v="994"/>
        <x:n v="1086"/>
        <x:n v="265"/>
        <x:n v="255"/>
        <x:n v="470"/>
        <x:n v="177"/>
        <x:n v="581"/>
        <x:n v="648"/>
        <x:n v="343"/>
        <x:n v="1102"/>
        <x:n v="1057"/>
        <x:n v="677"/>
        <x:n v="637"/>
        <x:n v="612"/>
        <x:n v="558"/>
        <x:n v="781"/>
        <x:n v="1118"/>
        <x:n v="996"/>
        <x:n v="742"/>
        <x:n v="1034"/>
        <x:n v="794"/>
        <x:n v="642"/>
        <x:n v="70"/>
        <x:n v="106"/>
        <x:n v="1191"/>
        <x:n v="138"/>
        <x:n v="123"/>
        <x:n v="851"/>
        <x:n v="659"/>
        <x:n v="590"/>
        <x:n v="805"/>
        <x:n v="1130"/>
        <x:n v="105"/>
        <x:n v="468"/>
        <x:n v="891"/>
        <x:n v="58"/>
        <x:n v="754"/>
        <x:n v="880"/>
        <x:n v="390"/>
        <x:n v="603"/>
        <x:n v="931"/>
        <x:n v="201"/>
        <x:n v="118"/>
        <x:n v="71"/>
        <x:n v="557"/>
        <x:n v="114"/>
        <x:n v="651"/>
        <x:n v="980"/>
        <x:n v="64"/>
        <x:n v="2"/>
        <x:n v="333"/>
        <x:n v="857"/>
        <x:n v="119"/>
        <x:n v="180"/>
        <x:n v="516"/>
        <x:n v="531"/>
        <x:n v="1083"/>
        <x:n v="1169"/>
        <x:n v="502"/>
        <x:n v="1094"/>
        <x:n v="1080"/>
        <x:n v="955"/>
        <x:n v="39"/>
        <x:n v="452"/>
        <x:n v="1041"/>
        <x:n v="397"/>
        <x:n v="168"/>
        <x:n v="633"/>
        <x:n v="328"/>
        <x:n v="253"/>
        <x:n v="523"/>
        <x:n v="828"/>
        <x:n v="864"/>
        <x:n v="276"/>
        <x:n v="494"/>
        <x:n v="1175"/>
        <x:n v="45"/>
        <x:n v="1035"/>
        <x:n v="1047"/>
        <x:n v="893"/>
        <x:n v="404"/>
        <x:n v="125"/>
        <x:n v="838"/>
        <x:n v="613"/>
        <x:n v="48"/>
        <x:n v="696"/>
        <x:n v="823"/>
        <x:n v="741"/>
        <x:n v="121"/>
        <x:n v="292"/>
        <x:n v="878"/>
        <x:n v="1027"/>
        <x:n v="211"/>
        <x:n v="1023"/>
        <x:n v="749"/>
        <x:n v="393"/>
        <x:n v="979"/>
        <x:n v="695"/>
        <x:n v="1031"/>
        <x:n v="564"/>
        <x:n v="1000"/>
        <x:n v="113"/>
        <x:n v="91"/>
        <x:n v="812"/>
        <x:n v="771"/>
        <x:n v="903"/>
        <x:n v="127"/>
        <x:n v="663"/>
        <x:n v="681"/>
        <x:n v="478"/>
        <x:n v="638"/>
        <x:n v="1156"/>
        <x:n v="976"/>
        <x:n v="44"/>
        <x:n v="35"/>
        <x:n v="690"/>
        <x:n v="819"/>
        <x:n v="1113"/>
        <x:n v="206"/>
        <x:n v="736"/>
        <x:n v="811"/>
        <x:n v="1134"/>
        <x:n v="270"/>
        <x:n v="337"/>
        <x:n v="1139"/>
        <x:n v="423"/>
        <x:n v="496"/>
        <x:n v="792"/>
        <x:n v="252"/>
        <x:n v="963"/>
        <x:n v="796"/>
        <x:n v="57"/>
        <x:n v="556"/>
        <x:n v="942"/>
        <x:n v="1110"/>
        <x:n v="816"/>
        <x:n v="688"/>
        <x:n v="723"/>
        <x:n v="859"/>
        <x:n v="559"/>
        <x:n v="586"/>
        <x:n v="219"/>
        <x:n v="722"/>
        <x:n v="1"/>
        <x:n v="734"/>
        <x:n v="469"/>
        <x:n v="245"/>
        <x:n v="24"/>
        <x:n v="764"/>
        <x:n v="909"/>
        <x:n v="1054"/>
        <x:n v="746"/>
        <x:n v="701"/>
        <x:n v="117"/>
        <x:n v="606"/>
        <x:n v="961"/>
        <x:n v="332"/>
        <x:n v="740"/>
        <x:n v="935"/>
        <x:n v="165"/>
        <x:n v="602"/>
        <x:n v="283"/>
        <x:n v="773"/>
        <x:n v="806"/>
        <x:n v="14"/>
        <x:n v="1049"/>
        <x:n v="939"/>
        <x:n v="1129"/>
        <x:n v="133"/>
        <x:n v="427"/>
        <x:n v="547"/>
        <x:n v="1167"/>
        <x:n v="368"/>
        <x:n v="155"/>
        <x:n v="884"/>
        <x:n v="1079"/>
        <x:n v="1067"/>
        <x:n v="67"/>
        <x:n v="274"/>
        <x:n v="412"/>
        <x:n v="684"/>
        <x:n v="1003"/>
        <x:n v="694"/>
        <x:n v="1026"/>
        <x:n v="627"/>
        <x:n v="301"/>
        <x:n v="550"/>
        <x:n v="317"/>
        <x:n v="871"/>
        <x:n v="628"/>
        <x:n v="481"/>
        <x:n v="226"/>
        <x:n v="208"/>
        <x:n v="1111"/>
        <x:n v="843"/>
        <x:n v="848"/>
        <x:n v="243"/>
        <x:n v="59"/>
        <x:n v="674"/>
        <x:n v="748"/>
        <x:n v="207"/>
        <x:n v="220"/>
        <x:n v="809"/>
        <x:n v="249"/>
        <x:n v="240"/>
        <x:n v="492"/>
        <x:n v="153"/>
        <x:n v="1021"/>
        <x:n v="687"/>
        <x:n v="464"/>
        <x:n v="313"/>
        <x:n v="808"/>
        <x:n v="776"/>
        <x:n v="1076"/>
        <x:n v="388"/>
        <x:n v="934"/>
        <x:n v="840"/>
        <x:n v="382"/>
        <x:n v="383"/>
        <x:n v="221"/>
        <x:n v="456"/>
        <x:n v="698"/>
        <x:n v="408"/>
        <x:n v="73"/>
        <x:n v="1017"/>
        <x:n v="561"/>
        <x:n v="5"/>
        <x:n v="733"/>
        <x:n v="1044"/>
        <x:n v="308"/>
        <x:n v="595"/>
        <x:n v="95"/>
        <x:n v="432"/>
        <x:n v="697"/>
        <x:n v="414"/>
        <x:n v="672"/>
        <x:n v="577"/>
        <x:n v="232"/>
        <x:n v="607"/>
        <x:n v="1173"/>
        <x:n v="1163"/>
        <x:n v="887"/>
        <x:n v="352"/>
        <x:n v="349"/>
        <x:n v="266"/>
        <x:n v="578"/>
        <x:n v="1107"/>
        <x:n v="431"/>
        <x:n v="1148"/>
        <x:n v="655"/>
        <x:n v="258"/>
        <x:n v="34"/>
        <x:n v="1162"/>
        <x:n v="775"/>
        <x:n v="605"/>
        <x:n v="977"/>
        <x:n v="315"/>
        <x:n v="1150"/>
        <x:n v="565"/>
        <x:n v="702"/>
        <x:n v="988"/>
        <x:n v="1078"/>
        <x:n v="230"/>
        <x:n v="81"/>
        <x:n v="11"/>
        <x:n v="872"/>
        <x:n v="79"/>
        <x:n v="906"/>
        <x:n v="731"/>
        <x:n v="156"/>
        <x:n v="179"/>
        <x:n v="945"/>
        <x:n v="242"/>
        <x:n v="1196"/>
        <x:n v="1071"/>
        <x:n v="348"/>
        <x:n v="1149"/>
        <x:n v="1046"/>
        <x:n v="650"/>
        <x:n v="948"/>
        <x:n v="584"/>
        <x:n v="739"/>
        <x:n v="417"/>
        <x:n v="447"/>
        <x:n v="758"/>
        <x:n v="147"/>
        <x:n v="541"/>
        <x:n v="732"/>
        <x:n v="617"/>
        <x:n v="552"/>
        <x:n v="237"/>
        <x:n v="22"/>
        <x:n v="675"/>
        <x:n v="306"/>
        <x:n v="256"/>
        <x:n v="769"/>
        <x:n v="726"/>
        <x:n v="517"/>
        <x:n v="964"/>
        <x:n v="458"/>
        <x:n v="1112"/>
        <x:n v="261"/>
        <x:n v="950"/>
        <x:n v="1032"/>
        <x:n v="134"/>
        <x:n v="636"/>
        <x:n v="551"/>
        <x:n v="1154"/>
        <x:n v="108"/>
        <x:n v="381"/>
        <x:n v="529"/>
        <x:n v="480"/>
        <x:n v="787"/>
        <x:n v="1186"/>
        <x:n v="845"/>
        <x:n v="856"/>
        <x:n v="99"/>
        <x:n v="894"/>
        <x:n v="549"/>
        <x:n v="933"/>
        <x:n v="703"/>
        <x:n v="37"/>
        <x:n v="241"/>
        <x:n v="1181"/>
        <x:n v="42"/>
        <x:n v="984"/>
        <x:n v="563"/>
        <x:n v="326"/>
        <x:n v="854"/>
        <x:n v="357"/>
        <x:n v="391"/>
        <x:n v="965"/>
        <x:n v="1070"/>
        <x:n v="415"/>
        <x:n v="924"/>
        <x:n v="495"/>
        <x:n v="635"/>
        <x:n v="752"/>
        <x:n v="350"/>
        <x:n v="886"/>
        <x:n v="223"/>
        <x:n v="774"/>
        <x:n v="210"/>
        <x:n v="394"/>
        <x:n v="340"/>
        <x:n v="553"/>
        <x:n v="1045"/>
        <x:n v="1124"/>
        <x:n v="1014"/>
        <x:n v="756"/>
        <x:n v="278"/>
        <x:n v="1090"/>
        <x:n v="174"/>
        <x:n v="259"/>
        <x:n v="233"/>
        <x:n v="1040"/>
        <x:n v="1006"/>
        <x:n v="19"/>
        <x:n v="922"/>
        <x:n v="1105"/>
        <x:n v="759"/>
        <x:n v="662"/>
        <x:n v="938"/>
        <x:n v="897"/>
        <x:n v="570"/>
        <x:n v="720"/>
        <x:n v="542"/>
        <x:n v="437"/>
        <x:n v="146"/>
        <x:n v="1128"/>
        <x:n v="453"/>
        <x:n v="827"/>
        <x:n v="192"/>
        <x:n v="918"/>
        <x:n v="862"/>
        <x:n v="709"/>
        <x:n v="162"/>
        <x:n v="597"/>
        <x:n v="500"/>
        <x:n v="218"/>
        <x:n v="730"/>
        <x:n v="885"/>
        <x:n v="1132"/>
        <x:n v="166"/>
        <x:n v="849"/>
        <x:n v="183"/>
        <x:n v="1164"/>
        <x:n v="324"/>
        <x:n v="152"/>
        <x:n v="1183"/>
        <x:n v="554"/>
        <x:n v="813"/>
        <x:n v="77"/>
        <x:n v="1119"/>
        <x:n v="969"/>
        <x:n v="358"/>
        <x:n v="511"/>
        <x:n v="907"/>
        <x:n v="1042"/>
        <x:n v="822"/>
        <x:n v="1151"/>
        <x:n v="164"/>
        <x:n v="653"/>
        <x:n v="161"/>
        <x:n v="1190"/>
        <x:n v="1172"/>
        <x:n v="913"/>
        <x:n v="814"/>
        <x:n v="538"/>
        <x:n v="567"/>
        <x:n v="591"/>
        <x:n v="1087"/>
        <x:n v="620"/>
        <x:n v="623"/>
        <x:n v="160"/>
        <x:n v="1005"/>
        <x:n v="428"/>
        <x:n v="377"/>
        <x:n v="257"/>
        <x:n v="387"/>
        <x:n v="858"/>
        <x:n v="18"/>
        <x:n v="640"/>
        <x:n v="497"/>
        <x:n v="273"/>
        <x:n v="704"/>
        <x:n v="865"/>
        <x:n v="300"/>
        <x:n v="958"/>
        <x:n v="49"/>
        <x:n v="966"/>
        <x:n v="501"/>
        <x:n v="967"/>
        <x:n v="936"/>
        <x:n v="609"/>
        <x:n v="719"/>
        <x:n v="98"/>
        <x:n v="616"/>
        <x:n v="15"/>
        <x:n v="646"/>
        <x:n v="873"/>
        <x:n v="757"/>
        <x:n v="594"/>
        <x:n v="60"/>
        <x:n v="867"/>
        <x:n v="327"/>
        <x:n v="664"/>
        <x:n v="793"/>
        <x:n v="229"/>
        <x:n v="47"/>
        <x:n v="129"/>
        <x:n v="422"/>
        <x:n v="772"/>
        <x:n v="685"/>
        <x:n v="1158"/>
        <x:n v="1166"/>
        <x:n v="1179"/>
        <x:n v="896"/>
        <x:n v="457"/>
        <x:n v="75"/>
        <x:n v="928"/>
        <x:n v="1137"/>
        <x:n v="1008"/>
        <x:n v="1198"/>
        <x:n v="986"/>
        <x:n v="580"/>
        <x:n v="700"/>
        <x:n v="1143"/>
        <x:n v="405"/>
        <x:n v="783"/>
        <x:n v="1062"/>
        <x:n v="493"/>
        <x:n v="508"/>
        <x:n v="689"/>
        <x:n v="85"/>
        <x:n v="545"/>
        <x:n v="185"/>
        <x:n v="1097"/>
        <x:n v="1101"/>
        <x:n v="353"/>
        <x:n v="1056"/>
        <x:n v="579"/>
        <x:n v="544"/>
        <x:n v="1043"/>
        <x:n v="920"/>
        <x:n v="506"/>
        <x:n v="403"/>
        <x:n v="151"/>
        <x:n v="29"/>
        <x:n v="947"/>
        <x:n v="305"/>
        <x:n v="682"/>
        <x:n v="1096"/>
        <x:n v="94"/>
        <x:n v="355"/>
        <x:n v="715"/>
        <x:n v="821"/>
        <x:n v="84"/>
        <x:n v="898"/>
        <x:n v="20"/>
        <x:n v="521"/>
        <x:n v="459"/>
        <x:n v="401"/>
        <x:n v="463"/>
        <x:n v="743"/>
        <x:n v="158"/>
        <x:n v="533"/>
        <x:n v="1136"/>
        <x:n v="929"/>
        <x:n v="727"/>
        <x:n v="957"/>
        <x:n v="312"/>
        <x:n v="339"/>
        <x:n v="1144"/>
        <x:n v="410"/>
        <x:n v="344"/>
        <x:n v="399"/>
        <x:n v="126"/>
        <x:n v="738"/>
        <x:n v="1189"/>
        <x:n v="293"/>
        <x:n v="499"/>
        <x:n v="130"/>
        <x:n v="193"/>
        <x:n v="1051"/>
        <x:n v="587"/>
        <x:n v="286"/>
        <x:n v="367"/>
        <x:n v="413"/>
        <x:n v="144"/>
        <x:n v="10"/>
        <x:n v="489"/>
        <x:n v="46"/>
        <x:n v="618"/>
        <x:n v="949"/>
        <x:n v="745"/>
        <x:n v="284"/>
        <x:n v="777"/>
        <x:n v="568"/>
        <x:n v="124"/>
        <x:n v="1147"/>
        <x:n v="1131"/>
        <x:n v="455"/>
        <x:n v="1016"/>
        <x:n v="342"/>
        <x:n v="460"/>
        <x:n v="116"/>
        <x:n v="1022"/>
        <x:n v="1157"/>
        <x:n v="62"/>
        <x:n v="535"/>
        <x:n v="975"/>
        <x:n v="834"/>
        <x:n v="875"/>
        <x:n v="222"/>
        <x:n v="304"/>
        <x:n v="41"/>
        <x:n v="941"/>
        <x:n v="562"/>
        <x:n v="778"/>
        <x:n v="670"/>
        <x:n v="576"/>
        <x:n v="566"/>
        <x:n v="1074"/>
        <x:n v="503"/>
        <x:n v="826"/>
        <x:n v="762"/>
        <x:n v="420"/>
        <x:n v="895"/>
        <x:n v="519"/>
        <x:n v="425"/>
        <x:n v="92"/>
        <x:n v="110"/>
        <x:n v="371"/>
        <x:n v="298"/>
        <x:n v="1159"/>
        <x:n v="484"/>
        <x:n v="1180"/>
        <x:n v="334"/>
        <x:n v="140"/>
        <x:n v="1048"/>
        <x:n v="842"/>
        <x:n v="901"/>
        <x:n v="999"/>
        <x:n v="157"/>
        <x:n v="172"/>
        <x:n v="877"/>
        <x:n v="426"/>
        <x:n v="817"/>
        <x:n v="954"/>
        <x:n v="187"/>
        <x:n v="1084"/>
        <x:n v="433"/>
        <x:n v="406"/>
        <x:n v="1125"/>
        <x:n v="678"/>
        <x:n v="322"/>
        <x:n v="411"/>
        <x:n v="765"/>
        <x:n v="660"/>
        <x:n v="770"/>
        <x:n v="1015"/>
        <x:n v="971"/>
        <x:n v="797"/>
        <x:n v="630"/>
        <x:n v="434"/>
        <x:n v="744"/>
        <x:n v="767"/>
        <x:n v="560"/>
        <x:n v="295"/>
        <x:n v="785"/>
        <x:n v="716"/>
        <x:n v="786"/>
        <x:n v="788"/>
        <x:n v="200"/>
        <x:n v="614"/>
        <x:n v="527"/>
        <x:n v="104"/>
        <x:n v="379"/>
        <x:n v="264"/>
        <x:n v="1020"/>
        <x:n v="30"/>
        <x:n v="610"/>
        <x:n v="1036"/>
        <x:n v="150"/>
        <x:n v="63"/>
        <x:n v="80"/>
        <x:n v="536"/>
        <x:n v="269"/>
        <x:n v="12"/>
        <x:n v="76"/>
        <x:n v="1088"/>
        <x:n v="1123"/>
        <x:n v="784"/>
        <x:n v="395"/>
        <x:n v="515"/>
        <x:n v="360"/>
        <x:n v="1195"/>
        <x:n v="424"/>
        <x:n v="336"/>
        <x:n v="647"/>
        <x:n v="1187"/>
        <x:n v="997"/>
        <x:n v="212"/>
        <x:n v="303"/>
        <x:n v="1064"/>
        <x:n v="101"/>
        <x:n v="993"/>
        <x:n v="384"/>
        <x:n v="978"/>
        <x:n v="611"/>
        <x:n v="490"/>
        <x:n v="883"/>
        <x:n v="509"/>
        <x:n v="889"/>
        <x:n v="1199"/>
        <x:n v="686"/>
        <x:n v="661"/>
        <x:n v="530"/>
        <x:n v="724"/>
        <x:n v="921"/>
        <x:n v="692"/>
        <x:n v="366"/>
        <x:n v="13"/>
        <x:n v="436"/>
        <x:n v="1055"/>
        <x:n v="103"/>
        <x:n v="790"/>
        <x:n v="31"/>
        <x:n v="102"/>
        <x:n v="850"/>
        <x:n v="215"/>
        <x:n v="699"/>
        <x:n v="120"/>
        <x:n v="1068"/>
        <x:n v="115"/>
        <x:n v="378"/>
        <x:n v="1025"/>
        <x:n v="644"/>
        <x:n v="782"/>
        <x:n v="1089"/>
        <x:n v="143"/>
        <x:n v="1011"/>
        <x:n v="451"/>
        <x:n v="810"/>
        <x:n v="900"/>
        <x:n v="1120"/>
        <x:n v="356"/>
        <x:n v="1121"/>
        <x:n v="874"/>
        <x:n v="940"/>
        <x:n v="619"/>
        <x:n v="376"/>
        <x:n v="474"/>
        <x:n v="196"/>
        <x:n v="925"/>
        <x:n v="708"/>
        <x:n v="791"/>
        <x:n v="135"/>
        <x:n v="88"/>
        <x:n v="1091"/>
        <x:n v="861"/>
        <x:n v="389"/>
        <x:n v="268"/>
        <x:n v="1161"/>
        <x:n v="868"/>
        <x:n v="735"/>
        <x:n v="914"/>
        <x:n v="228"/>
        <x:n v="36"/>
        <x:n v="524"/>
        <x:n v="279"/>
        <x:n v="510"/>
        <x:n v="657"/>
        <x:n v="442"/>
        <x:n v="407"/>
        <x:n v="639"/>
        <x:n v="1160"/>
        <x:n v="21"/>
        <x:n v="1038"/>
        <x:n v="396"/>
        <x:n v="710"/>
        <x:n v="302"/>
        <x:n v="632"/>
        <x:n v="624"/>
        <x:n v="450"/>
        <x:n v="329"/>
        <x:n v="589"/>
        <x:n v="277"/>
        <x:n v="721"/>
        <x:n v="321"/>
        <x:n v="409"/>
        <x:n v="1030"/>
        <x:n v="1126"/>
        <x:n v="307"/>
        <x:n v="288"/>
        <x:n v="930"/>
        <x:n v="83"/>
        <x:n v="983"/>
        <x:n v="1182"/>
        <x:n v="483"/>
        <x:n v="629"/>
        <x:n v="90"/>
        <x:n v="1060"/>
        <x:n v="982"/>
        <x:n v="951"/>
        <x:n v="296"/>
        <x:n v="671"/>
        <x:n v="281"/>
        <x:n v="1082"/>
        <x:n v="1013"/>
        <x:n v="596"/>
        <x:n v="109"/>
        <x:n v="1010"/>
        <x:n v="198"/>
        <x:n v="466"/>
        <x:n v="899"/>
        <x:n v="526"/>
        <x:n v="641"/>
        <x:n v="441"/>
        <x:n v="181"/>
        <x:n v="1108"/>
        <x:n v="631"/>
        <x:n v="197"/>
        <x:n v="51"/>
        <x:n v="486"/>
        <x:n v="680"/>
        <x:n v="879"/>
        <x:n v="17"/>
        <x:n v="952"/>
        <x:n v="915"/>
        <x:n v="1019"/>
        <x:n v="380"/>
        <x:n v="548"/>
        <x:n v="876"/>
        <x:n v="131"/>
        <x:n v="912"/>
        <x:n v="705"/>
        <x:n v="473"/>
        <x:n v="287"/>
        <x:n v="779"/>
        <x:n v="837"/>
        <x:n v="974"/>
        <x:n v="145"/>
        <x:n v="902"/>
        <x:n v="374"/>
        <x:n v="191"/>
        <x:n v="1018"/>
        <x:n v="1007"/>
        <x:n v="485"/>
        <x:n v="505"/>
        <x:n v="1133"/>
        <x:n v="400"/>
        <x:n v="539"/>
        <x:n v="946"/>
        <x:n v="768"/>
        <x:n v="1052"/>
        <x:n v="802"/>
        <x:n v="351"/>
        <x:n v="65"/>
        <x:n v="1142"/>
        <x:n v="202"/>
        <x:n v="512"/>
        <x:n v="330"/>
        <x:n v="142"/>
        <x:n v="429"/>
        <x:n v="818"/>
        <x:n v="1072"/>
        <x:n v="847"/>
        <x:n v="753"/>
        <x:n v="189"/>
        <x:n v="40"/>
        <x:n v="319"/>
        <x:n v="960"/>
        <x:n v="66"/>
        <x:n v="1063"/>
        <x:n v="285"/>
        <x:n v="54"/>
        <x:n v="532"/>
        <x:n v="1103"/>
        <x:n v="583"/>
        <x:n v="267"/>
        <x:n v="747"/>
        <x:n v="188"/>
        <x:n v="751"/>
        <x:n v="338"/>
        <x:n v="475"/>
        <x:n v="373"/>
        <x:n v="8"/>
        <x:n v="443"/>
        <x:n v="831"/>
        <x:n v="363"/>
        <x:n v="251"/>
        <x:n v="990"/>
        <x:n v="1028"/>
        <x:n v="669"/>
        <x:n v="592"/>
        <x:n v="953"/>
        <x:n v="89"/>
        <x:n v="1050"/>
        <x:n v="1184"/>
        <x:n v="574"/>
        <x:n v="272"/>
        <x:n v="216"/>
        <x:n v="439"/>
        <x:n v="1024"/>
        <x:n v="1114"/>
        <x:n v="717"/>
        <x:n v="128"/>
        <x:n v="1109"/>
        <x:n v="1009"/>
        <x:n v="763"/>
        <x:n v="634"/>
        <x:n v="962"/>
        <x:n v="844"/>
        <x:n v="224"/>
        <x:n v="74"/>
        <x:n v="540"/>
        <x:n v="825"/>
        <x:n v="263"/>
        <x:n v="1095"/>
        <x:n v="890"/>
        <x:n v="316"/>
        <x:n v="112"/>
        <x:n v="297"/>
        <x:n v="159"/>
        <x:n v="582"/>
        <x:n v="346"/>
        <x:n v="107"/>
        <x:n v="525"/>
        <x:n v="362"/>
        <x:n v="32"/>
        <x:n v="1177"/>
        <x:n v="1127"/>
        <x:n v="25"/>
        <x:n v="9"/>
        <x:n v="271"/>
        <x:n v="1140"/>
        <x:n v="141"/>
        <x:n v="467"/>
        <x:n v="33"/>
        <x:n v="195"/>
        <x:n v="476"/>
        <x:n v="139"/>
        <x:n v="1178"/>
      </x:sharedItems>
    </x:cacheField>
  </x:cacheFields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53"/>
    <d v="2023-01-01T00:00:00"/>
    <s v="Товары для дома"/>
    <s v="Плед"/>
    <n v="22142.31"/>
    <n v="2"/>
    <s v="Новосибирск"/>
    <n v="44284.62"/>
    <s v="2023-01"/>
    <n v="1099"/>
  </r>
  <r>
    <n v="255"/>
    <d v="2023-01-01T00:00:00"/>
    <s v="Товары для дома"/>
    <s v="Полотенце"/>
    <n v="56803"/>
    <n v="8"/>
    <s v="Санкт‑Петербург"/>
    <n v="454424"/>
    <s v="2023-01"/>
    <n v="448"/>
  </r>
  <r>
    <n v="517"/>
    <d v="2023-01-01T00:00:00"/>
    <s v="Продукты"/>
    <s v="Кофе"/>
    <n v="142755.15"/>
    <n v="4"/>
    <s v="Екатеринбург"/>
    <n v="571020.6"/>
    <s v="2023-01"/>
    <n v="347"/>
  </r>
  <r>
    <n v="570"/>
    <d v="2023-01-01T00:00:00"/>
    <s v="Электроника"/>
    <s v="Ноутбук"/>
    <n v="88418.8"/>
    <n v="1"/>
    <s v="Казань"/>
    <n v="88418.8"/>
    <s v="2023-01"/>
    <n v="998"/>
  </r>
  <r>
    <n v="1053"/>
    <d v="2023-01-01T00:00:00"/>
    <s v="Товары для дома"/>
    <s v="Плед"/>
    <n v="140698.03"/>
    <n v="6"/>
    <s v="Московская область"/>
    <n v="844188.18"/>
    <s v="2023-01"/>
    <n v="170"/>
  </r>
  <r>
    <n v="76"/>
    <d v="2023-01-02T00:00:00"/>
    <s v="Электроника"/>
    <s v="Смартфон"/>
    <n v="124739.03"/>
    <n v="7"/>
    <s v="Санкт‑Петербург"/>
    <n v="873173.21"/>
    <s v="2023-01"/>
    <n v="148"/>
  </r>
  <r>
    <n v="420"/>
    <d v="2023-01-02T00:00:00"/>
    <s v="Товары для дома"/>
    <s v="Кружка"/>
    <n v="79112.74"/>
    <n v="7"/>
    <s v="Казань"/>
    <n v="553789.18"/>
    <s v="2023-01"/>
    <n v="364"/>
  </r>
  <r>
    <n v="450"/>
    <d v="2023-01-02T00:00:00"/>
    <s v="Электроника"/>
    <s v="Смартфон"/>
    <n v="95400.21"/>
    <n v="5"/>
    <s v="Новосибирск"/>
    <n v="477001.05"/>
    <s v="2023-01"/>
    <n v="430"/>
  </r>
  <r>
    <n v="582"/>
    <d v="2023-01-02T00:00:00"/>
    <s v="Товары для дома"/>
    <s v="Подушка"/>
    <n v="113578.65"/>
    <n v="10"/>
    <s v="Екатеринбург"/>
    <n v="1135786.5"/>
    <s v="2023-01"/>
    <n v="52"/>
  </r>
  <r>
    <n v="633"/>
    <d v="2023-01-02T00:00:00"/>
    <s v="Электроника"/>
    <s v="Наушники"/>
    <n v="98852.45"/>
    <n v="8"/>
    <s v="Новосибирск"/>
    <n v="790819.6"/>
    <s v="2023-01"/>
    <n v="203"/>
  </r>
  <r>
    <n v="828"/>
    <d v="2023-01-02T00:00:00"/>
    <s v="Одежда"/>
    <s v="Кроссовки"/>
    <n v="48883.93"/>
    <n v="4"/>
    <s v="Санкт‑Петербург"/>
    <n v="195535.72"/>
    <s v="2023-01"/>
    <n v="795"/>
  </r>
  <r>
    <n v="313"/>
    <d v="2023-01-04T00:00:00"/>
    <s v="Продукты"/>
    <s v="Кофе"/>
    <n v="19450.02"/>
    <n v="9"/>
    <s v="Санкт‑Петербург"/>
    <n v="175050.18"/>
    <s v="2023-01"/>
    <n v="820"/>
  </r>
  <r>
    <n v="459"/>
    <d v="2023-01-05T00:00:00"/>
    <s v="Одежда"/>
    <s v="Джинсы"/>
    <n v="6809.92"/>
    <n v="4"/>
    <s v="Санкт‑Петербург"/>
    <n v="27239.68"/>
    <s v="2023-01"/>
    <n v="1135"/>
  </r>
  <r>
    <n v="572"/>
    <d v="2023-01-05T00:00:00"/>
    <s v="Электроника"/>
    <s v="Планшет"/>
    <n v="8569.43"/>
    <n v="6"/>
    <s v="Санкт‑Петербург"/>
    <n v="51416.58"/>
    <s v="2023-01"/>
    <n v="1081"/>
  </r>
  <r>
    <n v="1133"/>
    <d v="2023-01-05T00:00:00"/>
    <s v="Одежда"/>
    <s v="Джинсы"/>
    <n v="6417.05"/>
    <n v="9"/>
    <s v="Санкт‑Петербург"/>
    <n v="57753.45"/>
    <s v="2023-01"/>
    <n v="1065"/>
  </r>
  <r>
    <n v="60"/>
    <d v="2023-01-06T00:00:00"/>
    <s v="Товары для дома"/>
    <s v="Кружка"/>
    <n v="45015.51"/>
    <n v="7"/>
    <s v="Московская область"/>
    <n v="315108.57"/>
    <s v="2023-01"/>
    <n v="621"/>
  </r>
  <r>
    <n v="67"/>
    <d v="2023-01-06T00:00:00"/>
    <s v="Одежда"/>
    <s v="Куртка"/>
    <n v="130469.79"/>
    <n v="4"/>
    <s v="Екатеринбург"/>
    <n v="521879.16"/>
    <s v="2023-01"/>
    <n v="392"/>
  </r>
  <r>
    <n v="172"/>
    <d v="2023-01-06T00:00:00"/>
    <s v="Товары для дома"/>
    <s v="Подушка"/>
    <n v="123879.73"/>
    <n v="1"/>
    <s v="Санкт‑Петербург"/>
    <n v="123879.73"/>
    <s v="2023-01"/>
    <n v="917"/>
  </r>
  <r>
    <n v="349"/>
    <d v="2023-01-06T00:00:00"/>
    <s v="Товары для дома"/>
    <s v="Плед"/>
    <n v="51744.77"/>
    <n v="4"/>
    <s v="Екатеринбург"/>
    <n v="206979.08"/>
    <s v="2023-01"/>
    <n v="780"/>
  </r>
  <r>
    <n v="692"/>
    <d v="2023-01-06T00:00:00"/>
    <s v="Одежда"/>
    <s v="Куртка"/>
    <n v="82566.78"/>
    <n v="4"/>
    <s v="Новосибирск"/>
    <n v="330267.12"/>
    <s v="2023-01"/>
    <n v="601"/>
  </r>
  <r>
    <n v="107"/>
    <d v="2023-01-07T00:00:00"/>
    <s v="Товары для дома"/>
    <s v="Кружка"/>
    <n v="20436.27"/>
    <n v="5"/>
    <s v="Казань"/>
    <n v="102181.35"/>
    <s v="2023-01"/>
    <n v="968"/>
  </r>
  <r>
    <n v="1051"/>
    <d v="2023-01-07T00:00:00"/>
    <s v="Продукты"/>
    <s v="Хлеб"/>
    <n v="28652.76"/>
    <n v="3"/>
    <s v="Новосибирск"/>
    <n v="85958.28"/>
    <s v="2023-01"/>
    <n v="1002"/>
  </r>
  <r>
    <n v="406"/>
    <d v="2023-01-08T00:00:00"/>
    <s v="Товары для дома"/>
    <s v="Полотенце"/>
    <n v="15076.98"/>
    <n v="7"/>
    <s v="Новосибирск"/>
    <n v="105538.86"/>
    <s v="2023-01"/>
    <n v="959"/>
  </r>
  <r>
    <n v="764"/>
    <d v="2023-01-08T00:00:00"/>
    <s v="Одежда"/>
    <s v="Джинсы"/>
    <n v="119291.86"/>
    <n v="9"/>
    <s v="Новосибирск"/>
    <n v="1073626.74"/>
    <s v="2023-01"/>
    <n v="69"/>
  </r>
  <r>
    <n v="791"/>
    <d v="2023-01-08T00:00:00"/>
    <s v="Электроника"/>
    <s v="Смартфон"/>
    <n v="61260.19"/>
    <n v="8"/>
    <s v="Казань"/>
    <n v="490081.52"/>
    <s v="2023-01"/>
    <n v="421"/>
  </r>
  <r>
    <n v="972"/>
    <d v="2023-01-08T00:00:00"/>
    <s v="Электроника"/>
    <s v="Планшет"/>
    <n v="126354.73"/>
    <n v="1"/>
    <s v="Новосибирск"/>
    <n v="126354.73"/>
    <s v="2023-01"/>
    <n v="911"/>
  </r>
  <r>
    <n v="205"/>
    <d v="2023-01-09T00:00:00"/>
    <s v="Товары для дома"/>
    <s v="Подушка"/>
    <n v="103565.48"/>
    <n v="8"/>
    <s v="Санкт‑Петербург"/>
    <n v="828523.84"/>
    <s v="2023-01"/>
    <n v="178"/>
  </r>
  <r>
    <n v="504"/>
    <d v="2023-01-09T00:00:00"/>
    <s v="Одежда"/>
    <s v="Кроссовки"/>
    <n v="4181.63"/>
    <n v="5"/>
    <s v="Екатеринбург"/>
    <n v="20908.15"/>
    <s v="2023-01"/>
    <n v="1152"/>
  </r>
  <r>
    <n v="888"/>
    <d v="2023-01-09T00:00:00"/>
    <s v="Электроника"/>
    <s v="Смартфон"/>
    <n v="54363.32"/>
    <n v="6"/>
    <s v="Москва"/>
    <n v="326179.92"/>
    <s v="2023-01"/>
    <n v="608"/>
  </r>
  <r>
    <n v="30"/>
    <d v="2023-01-10T00:00:00"/>
    <s v="Одежда"/>
    <s v="Куртка"/>
    <n v="28295.18"/>
    <n v="3"/>
    <s v="Московская область"/>
    <n v="84885.54"/>
    <s v="2023-01"/>
    <n v="1004"/>
  </r>
  <r>
    <n v="408"/>
    <d v="2023-01-10T00:00:00"/>
    <s v="Одежда"/>
    <s v="Футболка"/>
    <n v="54260.83"/>
    <n v="5"/>
    <s v="Екатеринбург"/>
    <n v="271304.15"/>
    <s v="2023-01"/>
    <n v="668"/>
  </r>
  <r>
    <n v="512"/>
    <d v="2023-01-10T00:00:00"/>
    <s v="Продукты"/>
    <s v="Молоко"/>
    <n v="54773.8"/>
    <n v="10"/>
    <s v="Московская область"/>
    <n v="547738"/>
    <s v="2023-01"/>
    <n v="370"/>
  </r>
  <r>
    <n v="1099"/>
    <d v="2023-01-10T00:00:00"/>
    <s v="Электроника"/>
    <s v="Планшет"/>
    <n v="40947.81"/>
    <n v="1"/>
    <s v="Московская область"/>
    <n v="40947.81"/>
    <s v="2023-01"/>
    <n v="1104"/>
  </r>
  <r>
    <n v="263"/>
    <d v="2023-01-11T00:00:00"/>
    <s v="Продукты"/>
    <s v="Молоко"/>
    <n v="140674.03"/>
    <n v="2"/>
    <s v="Казань"/>
    <n v="281348.06"/>
    <s v="2023-01"/>
    <n v="654"/>
  </r>
  <r>
    <n v="357"/>
    <d v="2023-01-11T00:00:00"/>
    <s v="Продукты"/>
    <s v="Хлеб"/>
    <n v="10093.96"/>
    <n v="6"/>
    <s v="Казань"/>
    <n v="60563.76"/>
    <s v="2023-01"/>
    <n v="1058"/>
  </r>
  <r>
    <n v="366"/>
    <d v="2023-01-11T00:00:00"/>
    <s v="Товары для дома"/>
    <s v="Плед"/>
    <n v="8697.43"/>
    <n v="10"/>
    <s v="Казань"/>
    <n v="86974.3"/>
    <s v="2023-01"/>
    <n v="1001"/>
  </r>
  <r>
    <n v="546"/>
    <d v="2023-01-11T00:00:00"/>
    <s v="Товары для дома"/>
    <s v="Подушка"/>
    <n v="141396.76"/>
    <n v="6"/>
    <s v="Новосибирск"/>
    <n v="848380.56"/>
    <s v="2023-01"/>
    <n v="167"/>
  </r>
  <r>
    <n v="732"/>
    <d v="2023-01-11T00:00:00"/>
    <s v="Товары для дома"/>
    <s v="Полотенце"/>
    <n v="40016.15"/>
    <n v="3"/>
    <s v="Екатеринбург"/>
    <n v="120048.45"/>
    <s v="2023-01"/>
    <n v="926"/>
  </r>
  <r>
    <n v="951"/>
    <d v="2023-01-11T00:00:00"/>
    <s v="Товары для дома"/>
    <s v="Полотенце"/>
    <n v="134694.41"/>
    <n v="9"/>
    <s v="Новосибирск"/>
    <n v="1212249.69"/>
    <s v="2023-01"/>
    <n v="28"/>
  </r>
  <r>
    <n v="1152"/>
    <d v="2023-01-11T00:00:00"/>
    <s v="Продукты"/>
    <s v="Молоко"/>
    <n v="1278.07"/>
    <n v="1"/>
    <s v="Москва"/>
    <n v="1278.07"/>
    <s v="2023-01"/>
    <n v="1200"/>
  </r>
  <r>
    <n v="4"/>
    <d v="2023-01-12T00:00:00"/>
    <s v="Продукты"/>
    <s v="Кофе"/>
    <n v="52887.43"/>
    <n v="5"/>
    <s v="Санкт‑Петербург"/>
    <n v="264437.15"/>
    <s v="2023-01"/>
    <n v="679"/>
  </r>
  <r>
    <n v="312"/>
    <d v="2023-01-12T00:00:00"/>
    <s v="Одежда"/>
    <s v="Футболка"/>
    <n v="131826.01"/>
    <n v="8"/>
    <s v="Екатеринбург"/>
    <n v="1054608.08"/>
    <s v="2023-01"/>
    <n v="72"/>
  </r>
  <r>
    <n v="460"/>
    <d v="2023-01-12T00:00:00"/>
    <s v="Электроника"/>
    <s v="Наушники"/>
    <n v="92339.52"/>
    <n v="7"/>
    <s v="Москва"/>
    <n v="646376.64"/>
    <s v="2023-01"/>
    <n v="299"/>
  </r>
  <r>
    <n v="521"/>
    <d v="2023-01-12T00:00:00"/>
    <s v="Электроника"/>
    <s v="Наушники"/>
    <n v="54907.86"/>
    <n v="5"/>
    <s v="Московская область"/>
    <n v="274539.3"/>
    <s v="2023-01"/>
    <n v="665"/>
  </r>
  <r>
    <n v="3"/>
    <d v="2023-01-13T00:00:00"/>
    <s v="Товары для дома"/>
    <s v="Полотенце"/>
    <n v="145746.21"/>
    <n v="10"/>
    <s v="Новосибирск"/>
    <n v="1457462.1"/>
    <s v="2023-01"/>
    <n v="3"/>
  </r>
  <r>
    <n v="40"/>
    <d v="2023-01-13T00:00:00"/>
    <s v="Товары для дома"/>
    <s v="Полотенце"/>
    <n v="105031.52"/>
    <n v="9"/>
    <s v="Новосибирск"/>
    <n v="945283.68"/>
    <s v="2023-01"/>
    <n v="111"/>
  </r>
  <r>
    <n v="677"/>
    <d v="2023-01-13T00:00:00"/>
    <s v="Товары для дома"/>
    <s v="Подушка"/>
    <n v="80197.78"/>
    <n v="5"/>
    <s v="Екатеринбург"/>
    <n v="400988.9"/>
    <s v="2023-01"/>
    <n v="513"/>
  </r>
  <r>
    <n v="805"/>
    <d v="2023-01-13T00:00:00"/>
    <s v="Электроника"/>
    <s v="Ноутбук"/>
    <n v="1797.68"/>
    <n v="1"/>
    <s v="Казань"/>
    <n v="1797.68"/>
    <s v="2023-01"/>
    <n v="1197"/>
  </r>
  <r>
    <n v="885"/>
    <d v="2023-01-13T00:00:00"/>
    <s v="Продукты"/>
    <s v="Хлеб"/>
    <n v="54028.87"/>
    <n v="3"/>
    <s v="Екатеринбург"/>
    <n v="162086.61"/>
    <s v="2023-01"/>
    <n v="836"/>
  </r>
  <r>
    <n v="75"/>
    <d v="2023-01-14T00:00:00"/>
    <s v="Продукты"/>
    <s v="Кофе"/>
    <n v="39035.36"/>
    <n v="7"/>
    <s v="Новосибирск"/>
    <n v="273247.52"/>
    <s v="2023-01"/>
    <n v="666"/>
  </r>
  <r>
    <n v="892"/>
    <d v="2023-01-14T00:00:00"/>
    <s v="Одежда"/>
    <s v="Куртка"/>
    <n v="60813.59"/>
    <n v="7"/>
    <s v="Казань"/>
    <n v="425695.13"/>
    <s v="2023-01"/>
    <n v="488"/>
  </r>
  <r>
    <n v="200"/>
    <d v="2023-01-15T00:00:00"/>
    <s v="Товары для дома"/>
    <s v="Кружка"/>
    <n v="12553.42"/>
    <n v="2"/>
    <s v="Санкт‑Петербург"/>
    <n v="25106.84"/>
    <s v="2023-01"/>
    <n v="1141"/>
  </r>
  <r>
    <n v="48"/>
    <d v="2023-01-16T00:00:00"/>
    <s v="Товары для дома"/>
    <s v="Кружка"/>
    <n v="74072.51"/>
    <n v="9"/>
    <s v="Новосибирск"/>
    <n v="666652.59"/>
    <s v="2023-01"/>
    <n v="289"/>
  </r>
  <r>
    <n v="382"/>
    <d v="2023-01-16T00:00:00"/>
    <s v="Одежда"/>
    <s v="Кроссовки"/>
    <n v="65645.32"/>
    <n v="6"/>
    <s v="Екатеринбург"/>
    <n v="393871.92"/>
    <s v="2023-01"/>
    <n v="528"/>
  </r>
  <r>
    <n v="511"/>
    <d v="2023-01-16T00:00:00"/>
    <s v="Электроника"/>
    <s v="Наушники"/>
    <n v="6275.89"/>
    <n v="2"/>
    <s v="Санкт‑Петербург"/>
    <n v="12551.78"/>
    <s v="2023-01"/>
    <n v="1176"/>
  </r>
  <r>
    <n v="586"/>
    <d v="2023-01-16T00:00:00"/>
    <s v="Электроника"/>
    <s v="Планшет"/>
    <n v="119390.3"/>
    <n v="5"/>
    <s v="Москва"/>
    <n v="596951.5"/>
    <s v="2023-01"/>
    <n v="320"/>
  </r>
  <r>
    <n v="708"/>
    <d v="2023-01-16T00:00:00"/>
    <s v="Товары для дома"/>
    <s v="Плед"/>
    <n v="122745.45"/>
    <n v="6"/>
    <s v="Казань"/>
    <n v="736472.7"/>
    <s v="2023-01"/>
    <n v="235"/>
  </r>
  <r>
    <n v="422"/>
    <d v="2023-01-17T00:00:00"/>
    <s v="Электроника"/>
    <s v="Наушники"/>
    <n v="70703.68"/>
    <n v="6"/>
    <s v="Новосибирск"/>
    <n v="424222.08"/>
    <s v="2023-01"/>
    <n v="491"/>
  </r>
  <r>
    <n v="644"/>
    <d v="2023-01-17T00:00:00"/>
    <s v="Продукты"/>
    <s v="Хлеб"/>
    <n v="59371.53"/>
    <n v="1"/>
    <s v="Казань"/>
    <n v="59371.53"/>
    <s v="2023-01"/>
    <n v="1061"/>
  </r>
  <r>
    <n v="663"/>
    <d v="2023-01-17T00:00:00"/>
    <s v="Продукты"/>
    <s v="Кофе"/>
    <n v="62193.12"/>
    <n v="1"/>
    <s v="Екатеринбург"/>
    <n v="62193.12"/>
    <s v="2023-01"/>
    <n v="1053"/>
  </r>
  <r>
    <n v="95"/>
    <d v="2023-01-18T00:00:00"/>
    <s v="Электроника"/>
    <s v="Наушники"/>
    <n v="61471.52"/>
    <n v="8"/>
    <s v="Московская область"/>
    <n v="491772.16"/>
    <s v="2023-01"/>
    <n v="418"/>
  </r>
  <r>
    <n v="577"/>
    <d v="2023-01-19T00:00:00"/>
    <s v="Товары для дома"/>
    <s v="Полотенце"/>
    <n v="71332.6"/>
    <n v="1"/>
    <s v="Москва"/>
    <n v="71332.6"/>
    <s v="2023-01"/>
    <n v="1037"/>
  </r>
  <r>
    <n v="602"/>
    <d v="2023-01-19T00:00:00"/>
    <s v="Товары для дома"/>
    <s v="Плед"/>
    <n v="144366.56"/>
    <n v="5"/>
    <s v="Казань"/>
    <n v="721832.8"/>
    <s v="2023-01"/>
    <n v="250"/>
  </r>
  <r>
    <n v="1004"/>
    <d v="2023-01-19T00:00:00"/>
    <s v="Одежда"/>
    <s v="Куртка"/>
    <n v="28335.65"/>
    <n v="2"/>
    <s v="Санкт‑Петербург"/>
    <n v="56671.3"/>
    <s v="2023-01"/>
    <n v="1073"/>
  </r>
  <r>
    <n v="212"/>
    <d v="2023-01-21T00:00:00"/>
    <s v="Товары для дома"/>
    <s v="Полотенце"/>
    <n v="56938.37"/>
    <n v="6"/>
    <s v="Новосибирск"/>
    <n v="341630.22"/>
    <s v="2023-01"/>
    <n v="593"/>
  </r>
  <r>
    <n v="446"/>
    <d v="2023-01-21T00:00:00"/>
    <s v="Одежда"/>
    <s v="Куртка"/>
    <n v="101544.1"/>
    <n v="1"/>
    <s v="Московская область"/>
    <n v="101544.1"/>
    <s v="2023-01"/>
    <n v="970"/>
  </r>
  <r>
    <n v="743"/>
    <d v="2023-01-21T00:00:00"/>
    <s v="Одежда"/>
    <s v="Куртка"/>
    <n v="77467.51"/>
    <n v="4"/>
    <s v="Санкт‑Петербург"/>
    <n v="309870.04"/>
    <s v="2023-01"/>
    <n v="626"/>
  </r>
  <r>
    <n v="1016"/>
    <d v="2023-01-22T00:00:00"/>
    <s v="Товары для дома"/>
    <s v="Полотенце"/>
    <n v="49552.06"/>
    <n v="5"/>
    <s v="Москва"/>
    <n v="247760.3"/>
    <s v="2023-01"/>
    <n v="706"/>
  </r>
  <r>
    <n v="524"/>
    <d v="2023-01-23T00:00:00"/>
    <s v="Товары для дома"/>
    <s v="Плед"/>
    <n v="47543.18"/>
    <n v="9"/>
    <s v="Московская область"/>
    <n v="427888.62"/>
    <s v="2023-01"/>
    <n v="487"/>
  </r>
  <r>
    <n v="620"/>
    <d v="2023-01-23T00:00:00"/>
    <s v="Одежда"/>
    <s v="Джинсы"/>
    <n v="33764.7"/>
    <n v="5"/>
    <s v="Москва"/>
    <n v="168823.5"/>
    <s v="2023-01"/>
    <n v="824"/>
  </r>
  <r>
    <n v="1143"/>
    <d v="2023-01-23T00:00:00"/>
    <s v="Электроника"/>
    <s v="Планшет"/>
    <n v="145630.69"/>
    <n v="10"/>
    <s v="Санкт‑Петербург"/>
    <n v="1456306.9"/>
    <s v="2023-01"/>
    <n v="4"/>
  </r>
  <r>
    <n v="1163"/>
    <d v="2023-01-23T00:00:00"/>
    <s v="Одежда"/>
    <s v="Кроссовки"/>
    <n v="46147.51"/>
    <n v="10"/>
    <s v="Екатеринбург"/>
    <n v="461475.1"/>
    <s v="2023-01"/>
    <n v="440"/>
  </r>
  <r>
    <n v="134"/>
    <d v="2023-01-24T00:00:00"/>
    <s v="Электроника"/>
    <s v="Планшет"/>
    <n v="111600.5"/>
    <n v="5"/>
    <s v="Санкт‑Петербург"/>
    <n v="558002.5"/>
    <s v="2023-01"/>
    <n v="361"/>
  </r>
  <r>
    <n v="137"/>
    <d v="2023-01-24T00:00:00"/>
    <s v="Электроника"/>
    <s v="Ноутбук"/>
    <n v="105994.73"/>
    <n v="5"/>
    <s v="Санкт‑Петербург"/>
    <n v="529973.65"/>
    <s v="2023-01"/>
    <n v="385"/>
  </r>
  <r>
    <n v="471"/>
    <d v="2023-01-24T00:00:00"/>
    <s v="Электроника"/>
    <s v="Ноутбук"/>
    <n v="144793.75"/>
    <n v="5"/>
    <s v="Москва"/>
    <n v="723968.75"/>
    <s v="2023-01"/>
    <n v="247"/>
  </r>
  <r>
    <n v="258"/>
    <d v="2023-01-25T00:00:00"/>
    <s v="Одежда"/>
    <s v="Футболка"/>
    <n v="81503.88"/>
    <n v="9"/>
    <s v="Москва"/>
    <n v="733534.92"/>
    <s v="2023-01"/>
    <n v="238"/>
  </r>
  <r>
    <n v="220"/>
    <d v="2023-01-26T00:00:00"/>
    <s v="Продукты"/>
    <s v="Кофе"/>
    <n v="48197.6"/>
    <n v="3"/>
    <s v="Казань"/>
    <n v="144592.8"/>
    <s v="2023-01"/>
    <n v="866"/>
  </r>
  <r>
    <n v="286"/>
    <d v="2023-01-26T00:00:00"/>
    <s v="Товары для дома"/>
    <s v="Кружка"/>
    <n v="53247.42"/>
    <n v="6"/>
    <s v="Новосибирск"/>
    <n v="319484.52"/>
    <s v="2023-01"/>
    <n v="615"/>
  </r>
  <r>
    <n v="635"/>
    <d v="2023-01-26T00:00:00"/>
    <s v="Электроника"/>
    <s v="Ноутбук"/>
    <n v="6329.17"/>
    <n v="7"/>
    <s v="Московская область"/>
    <n v="44304.19"/>
    <s v="2023-01"/>
    <n v="1098"/>
  </r>
  <r>
    <n v="1106"/>
    <d v="2023-01-26T00:00:00"/>
    <s v="Продукты"/>
    <s v="Хлеб"/>
    <n v="27803.03"/>
    <n v="6"/>
    <s v="Санкт‑Петербург"/>
    <n v="166818.18"/>
    <s v="2023-01"/>
    <n v="829"/>
  </r>
  <r>
    <n v="301"/>
    <d v="2023-01-27T00:00:00"/>
    <s v="Продукты"/>
    <s v="Хлеб"/>
    <n v="66204.88"/>
    <n v="7"/>
    <s v="Москва"/>
    <n v="463434.16"/>
    <s v="2023-01"/>
    <n v="438"/>
  </r>
  <r>
    <n v="510"/>
    <d v="2023-01-27T00:00:00"/>
    <s v="Электроника"/>
    <s v="Ноутбук"/>
    <n v="87262.75"/>
    <n v="3"/>
    <s v="Екатеринбург"/>
    <n v="261788.25"/>
    <s v="2023-01"/>
    <n v="683"/>
  </r>
  <r>
    <n v="615"/>
    <d v="2023-01-27T00:00:00"/>
    <s v="Товары для дома"/>
    <s v="Подушка"/>
    <n v="110708.27"/>
    <n v="4"/>
    <s v="Екатеринбург"/>
    <n v="442833.08"/>
    <s v="2023-01"/>
    <n v="462"/>
  </r>
  <r>
    <n v="690"/>
    <d v="2023-01-27T00:00:00"/>
    <s v="Товары для дома"/>
    <s v="Плед"/>
    <n v="89791.77"/>
    <n v="1"/>
    <s v="Новосибирск"/>
    <n v="89791.77"/>
    <s v="2023-01"/>
    <n v="992"/>
  </r>
  <r>
    <n v="21"/>
    <d v="2023-01-29T00:00:00"/>
    <s v="Электроника"/>
    <s v="Планшет"/>
    <n v="71727.86"/>
    <n v="8"/>
    <s v="Екатеринбург"/>
    <n v="573822.88"/>
    <s v="2023-01"/>
    <n v="341"/>
  </r>
  <r>
    <n v="905"/>
    <d v="2023-01-29T00:00:00"/>
    <s v="Электроника"/>
    <s v="Планшет"/>
    <n v="112317.5"/>
    <n v="9"/>
    <s v="Москва"/>
    <n v="1010857.5"/>
    <s v="2023-01"/>
    <n v="87"/>
  </r>
  <r>
    <n v="35"/>
    <d v="2023-01-30T00:00:00"/>
    <s v="Одежда"/>
    <s v="Футболка"/>
    <n v="120565.57"/>
    <n v="2"/>
    <s v="Московская область"/>
    <n v="241131.14"/>
    <s v="2023-01"/>
    <n v="718"/>
  </r>
  <r>
    <n v="623"/>
    <d v="2023-01-30T00:00:00"/>
    <s v="Электроника"/>
    <s v="Ноутбук"/>
    <n v="83234.86"/>
    <n v="7"/>
    <s v="Новосибирск"/>
    <n v="582644.02"/>
    <s v="2023-01"/>
    <n v="331"/>
  </r>
  <r>
    <n v="759"/>
    <d v="2023-01-30T00:00:00"/>
    <s v="Товары для дома"/>
    <s v="Кружка"/>
    <n v="90308.87"/>
    <n v="4"/>
    <s v="Московская область"/>
    <n v="361235.48"/>
    <s v="2023-01"/>
    <n v="572"/>
  </r>
  <r>
    <n v="87"/>
    <d v="2023-01-31T00:00:00"/>
    <s v="Электроника"/>
    <s v="Наушники"/>
    <n v="75128.83"/>
    <n v="2"/>
    <s v="Казань"/>
    <n v="150257.66"/>
    <s v="2023-01"/>
    <n v="852"/>
  </r>
  <r>
    <n v="88"/>
    <d v="2023-01-31T00:00:00"/>
    <s v="Товары для дома"/>
    <s v="Кружка"/>
    <n v="125471.42"/>
    <n v="10"/>
    <s v="Новосибирск"/>
    <n v="1254714.2"/>
    <s v="2023-01"/>
    <n v="26"/>
  </r>
  <r>
    <n v="519"/>
    <d v="2023-01-31T00:00:00"/>
    <s v="Товары для дома"/>
    <s v="Плед"/>
    <n v="138861.97"/>
    <n v="6"/>
    <s v="Москва"/>
    <n v="833171.82"/>
    <s v="2023-01"/>
    <n v="176"/>
  </r>
  <r>
    <n v="691"/>
    <d v="2023-01-31T00:00:00"/>
    <s v="Одежда"/>
    <s v="Кроссовки"/>
    <n v="112502.92"/>
    <n v="1"/>
    <s v="Московская область"/>
    <n v="112502.92"/>
    <s v="2023-01"/>
    <n v="943"/>
  </r>
  <r>
    <n v="857"/>
    <d v="2023-01-31T00:00:00"/>
    <s v="Электроника"/>
    <s v="Наушники"/>
    <n v="130284.3"/>
    <n v="6"/>
    <s v="Московская область"/>
    <n v="781705.8"/>
    <s v="2023-01"/>
    <n v="204"/>
  </r>
  <r>
    <n v="1000"/>
    <d v="2023-01-31T00:00:00"/>
    <s v="Продукты"/>
    <s v="Хлеб"/>
    <n v="108736.5"/>
    <n v="6"/>
    <s v="Екатеринбург"/>
    <n v="652419"/>
    <s v="2023-01"/>
    <n v="294"/>
  </r>
  <r>
    <n v="1035"/>
    <d v="2023-01-31T00:00:00"/>
    <s v="Товары для дома"/>
    <s v="Полотенце"/>
    <n v="139022.04"/>
    <n v="6"/>
    <s v="Москва"/>
    <n v="834132.24"/>
    <s v="2023-01"/>
    <n v="175"/>
  </r>
  <r>
    <n v="487"/>
    <d v="2023-02-01T00:00:00"/>
    <s v="Продукты"/>
    <s v="Шоколад"/>
    <n v="93807.13"/>
    <n v="5"/>
    <s v="Новосибирск"/>
    <n v="469035.65"/>
    <s v="2023-02"/>
    <n v="435"/>
  </r>
  <r>
    <n v="1150"/>
    <d v="2023-02-01T00:00:00"/>
    <s v="Продукты"/>
    <s v="Кофе"/>
    <n v="2272.32"/>
    <n v="7"/>
    <s v="Москва"/>
    <n v="15906.24"/>
    <s v="2023-02"/>
    <n v="1165"/>
  </r>
  <r>
    <n v="256"/>
    <d v="2023-02-02T00:00:00"/>
    <s v="Одежда"/>
    <s v="Джинсы"/>
    <n v="60609.42"/>
    <n v="9"/>
    <s v="Новосибирск"/>
    <n v="545484.78"/>
    <s v="2023-02"/>
    <n v="372"/>
  </r>
  <r>
    <n v="334"/>
    <d v="2023-02-02T00:00:00"/>
    <s v="Одежда"/>
    <s v="Куртка"/>
    <n v="36761.62"/>
    <n v="6"/>
    <s v="Казань"/>
    <n v="220569.72"/>
    <s v="2023-02"/>
    <n v="755"/>
  </r>
  <r>
    <n v="822"/>
    <d v="2023-02-02T00:00:00"/>
    <s v="Одежда"/>
    <s v="Куртка"/>
    <n v="84981.02"/>
    <n v="7"/>
    <s v="Екатеринбург"/>
    <n v="594867.14"/>
    <s v="2023-02"/>
    <n v="323"/>
  </r>
  <r>
    <n v="1060"/>
    <d v="2023-02-02T00:00:00"/>
    <s v="Продукты"/>
    <s v="Хлеб"/>
    <n v="71784.27"/>
    <n v="2"/>
    <s v="Московская область"/>
    <n v="143568.54"/>
    <s v="2023-02"/>
    <n v="870"/>
  </r>
  <r>
    <n v="1089"/>
    <d v="2023-02-02T00:00:00"/>
    <s v="Товары для дома"/>
    <s v="Подушка"/>
    <n v="126899.64"/>
    <n v="9"/>
    <s v="Санкт‑Петербург"/>
    <n v="1142096.76"/>
    <s v="2023-02"/>
    <n v="50"/>
  </r>
  <r>
    <n v="944"/>
    <d v="2023-02-03T00:00:00"/>
    <s v="Одежда"/>
    <s v="Куртка"/>
    <n v="7203.63"/>
    <n v="7"/>
    <s v="Казань"/>
    <n v="50425.41"/>
    <s v="2023-02"/>
    <n v="1085"/>
  </r>
  <r>
    <n v="56"/>
    <d v="2023-02-04T00:00:00"/>
    <s v="Продукты"/>
    <s v="Кофе"/>
    <n v="122370.3"/>
    <n v="6"/>
    <s v="Казань"/>
    <n v="734221.8"/>
    <s v="2023-02"/>
    <n v="236"/>
  </r>
  <r>
    <n v="104"/>
    <d v="2023-02-04T00:00:00"/>
    <s v="Продукты"/>
    <s v="Хлеб"/>
    <n v="59735.72"/>
    <n v="10"/>
    <s v="Московская область"/>
    <n v="597357.2"/>
    <s v="2023-02"/>
    <n v="318"/>
  </r>
  <r>
    <n v="325"/>
    <d v="2023-02-04T00:00:00"/>
    <s v="Одежда"/>
    <s v="Кроссовки"/>
    <n v="32735.81"/>
    <n v="7"/>
    <s v="Московская область"/>
    <n v="229150.67"/>
    <s v="2023-02"/>
    <n v="737"/>
  </r>
  <r>
    <n v="360"/>
    <d v="2023-02-04T00:00:00"/>
    <s v="Товары для дома"/>
    <s v="Плед"/>
    <n v="113182.54"/>
    <n v="6"/>
    <s v="Казань"/>
    <n v="679095.24"/>
    <s v="2023-02"/>
    <n v="280"/>
  </r>
  <r>
    <n v="637"/>
    <d v="2023-02-04T00:00:00"/>
    <s v="Товары для дома"/>
    <s v="Плед"/>
    <n v="69271.94"/>
    <n v="2"/>
    <s v="Новосибирск"/>
    <n v="138543.88"/>
    <s v="2023-02"/>
    <n v="882"/>
  </r>
  <r>
    <n v="260"/>
    <d v="2023-02-05T00:00:00"/>
    <s v="Одежда"/>
    <s v="Куртка"/>
    <n v="50727.32"/>
    <n v="9"/>
    <s v="Санкт‑Петербург"/>
    <n v="456545.88"/>
    <s v="2023-02"/>
    <n v="445"/>
  </r>
  <r>
    <n v="682"/>
    <d v="2023-02-05T00:00:00"/>
    <s v="Электроника"/>
    <s v="Смартфон"/>
    <n v="122312.41"/>
    <n v="1"/>
    <s v="Московская область"/>
    <n v="122312.41"/>
    <s v="2023-02"/>
    <n v="923"/>
  </r>
  <r>
    <n v="817"/>
    <d v="2023-02-05T00:00:00"/>
    <s v="Товары для дома"/>
    <s v="Подушка"/>
    <n v="40990.06"/>
    <n v="7"/>
    <s v="Новосибирск"/>
    <n v="286930.42"/>
    <s v="2023-02"/>
    <n v="645"/>
  </r>
  <r>
    <n v="1105"/>
    <d v="2023-02-05T00:00:00"/>
    <s v="Электроника"/>
    <s v="Планшет"/>
    <n v="102519.67"/>
    <n v="6"/>
    <s v="Москва"/>
    <n v="615118.02"/>
    <s v="2023-02"/>
    <n v="310"/>
  </r>
  <r>
    <n v="399"/>
    <d v="2023-02-06T00:00:00"/>
    <s v="Электроника"/>
    <s v="Смартфон"/>
    <n v="79695.27"/>
    <n v="10"/>
    <s v="Казань"/>
    <n v="796952.7"/>
    <s v="2023-02"/>
    <n v="199"/>
  </r>
  <r>
    <n v="534"/>
    <d v="2023-02-06T00:00:00"/>
    <s v="Электроника"/>
    <s v="Планшет"/>
    <n v="24708.51"/>
    <n v="8"/>
    <s v="Екатеринбург"/>
    <n v="197668.08"/>
    <s v="2023-02"/>
    <n v="789"/>
  </r>
  <r>
    <n v="766"/>
    <d v="2023-02-06T00:00:00"/>
    <s v="Электроника"/>
    <s v="Ноутбук"/>
    <n v="87310"/>
    <n v="10"/>
    <s v="Екатеринбург"/>
    <n v="873100"/>
    <s v="2023-02"/>
    <n v="149"/>
  </r>
  <r>
    <n v="947"/>
    <d v="2023-02-06T00:00:00"/>
    <s v="Товары для дома"/>
    <s v="Плед"/>
    <n v="35893.66"/>
    <n v="6"/>
    <s v="Екатеринбург"/>
    <n v="215361.96"/>
    <s v="2023-02"/>
    <n v="766"/>
  </r>
  <r>
    <n v="1091"/>
    <d v="2023-02-06T00:00:00"/>
    <s v="Одежда"/>
    <s v="Кроссовки"/>
    <n v="21783.22"/>
    <n v="10"/>
    <s v="Москва"/>
    <n v="217832.2"/>
    <s v="2023-02"/>
    <n v="761"/>
  </r>
  <r>
    <n v="126"/>
    <d v="2023-02-07T00:00:00"/>
    <s v="Одежда"/>
    <s v="Куртка"/>
    <n v="92199.81"/>
    <n v="1"/>
    <s v="Казань"/>
    <n v="92199.81"/>
    <s v="2023-02"/>
    <n v="985"/>
  </r>
  <r>
    <n v="278"/>
    <d v="2023-02-07T00:00:00"/>
    <s v="Электроника"/>
    <s v="Смартфон"/>
    <n v="17015.29"/>
    <n v="2"/>
    <s v="Москва"/>
    <n v="34030.58"/>
    <s v="2023-02"/>
    <n v="1116"/>
  </r>
  <r>
    <n v="594"/>
    <d v="2023-02-07T00:00:00"/>
    <s v="Электроника"/>
    <s v="Смартфон"/>
    <n v="33171.28"/>
    <n v="5"/>
    <s v="Санкт‑Петербург"/>
    <n v="165856.4"/>
    <s v="2023-02"/>
    <n v="830"/>
  </r>
  <r>
    <n v="685"/>
    <d v="2023-02-07T00:00:00"/>
    <s v="Электроника"/>
    <s v="Планшет"/>
    <n v="63270.95"/>
    <n v="3"/>
    <s v="Москва"/>
    <n v="189812.85"/>
    <s v="2023-02"/>
    <n v="804"/>
  </r>
  <r>
    <n v="816"/>
    <d v="2023-02-07T00:00:00"/>
    <s v="Продукты"/>
    <s v="Хлеб"/>
    <n v="31182.07"/>
    <n v="7"/>
    <s v="Санкт‑Петербург"/>
    <n v="218274.49"/>
    <s v="2023-02"/>
    <n v="760"/>
  </r>
  <r>
    <n v="858"/>
    <d v="2023-02-07T00:00:00"/>
    <s v="Электроника"/>
    <s v="Смартфон"/>
    <n v="103076.51"/>
    <n v="6"/>
    <s v="Екатеринбург"/>
    <n v="618459.06"/>
    <s v="2023-02"/>
    <n v="309"/>
  </r>
  <r>
    <n v="882"/>
    <d v="2023-02-07T00:00:00"/>
    <s v="Электроника"/>
    <s v="Наушники"/>
    <n v="21275.27"/>
    <n v="6"/>
    <s v="Санкт‑Петербург"/>
    <n v="127651.62"/>
    <s v="2023-02"/>
    <n v="910"/>
  </r>
  <r>
    <n v="1061"/>
    <d v="2023-02-07T00:00:00"/>
    <s v="Товары для дома"/>
    <s v="Подушка"/>
    <n v="57139.79"/>
    <n v="8"/>
    <s v="Московская область"/>
    <n v="457118.32"/>
    <s v="2023-02"/>
    <n v="444"/>
  </r>
  <r>
    <n v="77"/>
    <d v="2023-02-08T00:00:00"/>
    <s v="Одежда"/>
    <s v="Кроссовки"/>
    <n v="77362.08"/>
    <n v="9"/>
    <s v="Новосибирск"/>
    <n v="696258.72"/>
    <s v="2023-02"/>
    <n v="262"/>
  </r>
  <r>
    <n v="169"/>
    <d v="2023-02-08T00:00:00"/>
    <s v="Электроника"/>
    <s v="Планшет"/>
    <n v="120515.27"/>
    <n v="9"/>
    <s v="Екатеринбург"/>
    <n v="1084637.43"/>
    <s v="2023-02"/>
    <n v="68"/>
  </r>
  <r>
    <n v="179"/>
    <d v="2023-02-08T00:00:00"/>
    <s v="Продукты"/>
    <s v="Шоколад"/>
    <n v="86115.43"/>
    <n v="9"/>
    <s v="Новосибирск"/>
    <n v="775038.87"/>
    <s v="2023-02"/>
    <n v="209"/>
  </r>
  <r>
    <n v="575"/>
    <d v="2023-02-08T00:00:00"/>
    <s v="Одежда"/>
    <s v="Куртка"/>
    <n v="12702.72"/>
    <n v="7"/>
    <s v="Казань"/>
    <n v="88919.04"/>
    <s v="2023-02"/>
    <n v="995"/>
  </r>
  <r>
    <n v="765"/>
    <d v="2023-02-08T00:00:00"/>
    <s v="Продукты"/>
    <s v="Шоколад"/>
    <n v="37357.59"/>
    <n v="2"/>
    <s v="Екатеринбург"/>
    <n v="74715.18"/>
    <s v="2023-02"/>
    <n v="1029"/>
  </r>
  <r>
    <n v="871"/>
    <d v="2023-02-08T00:00:00"/>
    <s v="Продукты"/>
    <s v="Хлеб"/>
    <n v="91637.95"/>
    <n v="6"/>
    <s v="Новосибирск"/>
    <n v="549827.7"/>
    <s v="2023-02"/>
    <n v="369"/>
  </r>
  <r>
    <n v="123"/>
    <d v="2023-02-09T00:00:00"/>
    <s v="Продукты"/>
    <s v="Молоко"/>
    <n v="69577.98"/>
    <n v="1"/>
    <s v="Новосибирск"/>
    <n v="69577.98"/>
    <s v="2023-02"/>
    <n v="1039"/>
  </r>
  <r>
    <n v="639"/>
    <d v="2023-02-09T00:00:00"/>
    <s v="Продукты"/>
    <s v="Хлеб"/>
    <n v="41164.61"/>
    <n v="10"/>
    <s v="Московская область"/>
    <n v="411646.1"/>
    <s v="2023-02"/>
    <n v="504"/>
  </r>
  <r>
    <n v="752"/>
    <d v="2023-02-09T00:00:00"/>
    <s v="Электроника"/>
    <s v="Смартфон"/>
    <n v="86935.89"/>
    <n v="10"/>
    <s v="Казань"/>
    <n v="869358.9"/>
    <s v="2023-02"/>
    <n v="154"/>
  </r>
  <r>
    <n v="753"/>
    <d v="2023-02-09T00:00:00"/>
    <s v="Одежда"/>
    <s v="Куртка"/>
    <n v="114530.27"/>
    <n v="5"/>
    <s v="Новосибирск"/>
    <n v="572651.35"/>
    <s v="2023-02"/>
    <n v="345"/>
  </r>
  <r>
    <n v="948"/>
    <d v="2023-02-09T00:00:00"/>
    <s v="Одежда"/>
    <s v="Джинсы"/>
    <n v="97962.88"/>
    <n v="10"/>
    <s v="Москва"/>
    <n v="979628.8"/>
    <s v="2023-02"/>
    <n v="96"/>
  </r>
  <r>
    <n v="1175"/>
    <d v="2023-02-09T00:00:00"/>
    <s v="Одежда"/>
    <s v="Футболка"/>
    <n v="96584.97"/>
    <n v="2"/>
    <s v="Казань"/>
    <n v="193169.94"/>
    <s v="2023-02"/>
    <n v="798"/>
  </r>
  <r>
    <n v="381"/>
    <d v="2023-02-10T00:00:00"/>
    <s v="Продукты"/>
    <s v="Кофе"/>
    <n v="40559.18"/>
    <n v="4"/>
    <s v="Екатеринбург"/>
    <n v="162236.72"/>
    <s v="2023-02"/>
    <n v="835"/>
  </r>
  <r>
    <n v="762"/>
    <d v="2023-02-10T00:00:00"/>
    <s v="Товары для дома"/>
    <s v="Подушка"/>
    <n v="5750.14"/>
    <n v="6"/>
    <s v="Московская область"/>
    <n v="34500.84"/>
    <s v="2023-02"/>
    <n v="1115"/>
  </r>
  <r>
    <n v="456"/>
    <d v="2023-02-11T00:00:00"/>
    <s v="Продукты"/>
    <s v="Молоко"/>
    <n v="90559.36"/>
    <n v="8"/>
    <s v="Екатеринбург"/>
    <n v="724474.88"/>
    <s v="2023-02"/>
    <n v="246"/>
  </r>
  <r>
    <n v="488"/>
    <d v="2023-02-11T00:00:00"/>
    <s v="Продукты"/>
    <s v="Молоко"/>
    <n v="107718.06"/>
    <n v="4"/>
    <s v="Московская область"/>
    <n v="430872.24"/>
    <s v="2023-02"/>
    <n v="482"/>
  </r>
  <r>
    <n v="331"/>
    <d v="2023-02-12T00:00:00"/>
    <s v="Электроника"/>
    <s v="Планшет"/>
    <n v="116169.33"/>
    <n v="7"/>
    <s v="Москва"/>
    <n v="813185.31"/>
    <s v="2023-02"/>
    <n v="186"/>
  </r>
  <r>
    <n v="598"/>
    <d v="2023-02-12T00:00:00"/>
    <s v="Продукты"/>
    <s v="Молоко"/>
    <n v="75720.55"/>
    <n v="8"/>
    <s v="Санкт‑Петербург"/>
    <n v="605764.4"/>
    <s v="2023-02"/>
    <n v="314"/>
  </r>
  <r>
    <n v="979"/>
    <d v="2023-02-12T00:00:00"/>
    <s v="Продукты"/>
    <s v="Кофе"/>
    <n v="91165.67"/>
    <n v="9"/>
    <s v="Екатеринбург"/>
    <n v="820491.03"/>
    <s v="2023-02"/>
    <n v="182"/>
  </r>
  <r>
    <n v="138"/>
    <d v="2023-02-13T00:00:00"/>
    <s v="Товары для дома"/>
    <s v="Подушка"/>
    <n v="19242.85"/>
    <n v="1"/>
    <s v="Москва"/>
    <n v="19242.85"/>
    <s v="2023-02"/>
    <n v="1155"/>
  </r>
  <r>
    <n v="403"/>
    <d v="2023-02-13T00:00:00"/>
    <s v="Товары для дома"/>
    <s v="Подушка"/>
    <n v="78668.31"/>
    <n v="4"/>
    <s v="Екатеринбург"/>
    <n v="314673.24"/>
    <s v="2023-02"/>
    <n v="622"/>
  </r>
  <r>
    <n v="44"/>
    <d v="2023-02-14T00:00:00"/>
    <s v="Товары для дома"/>
    <s v="Кружка"/>
    <n v="91037.15"/>
    <n v="5"/>
    <s v="Московская область"/>
    <n v="455185.75"/>
    <s v="2023-02"/>
    <n v="446"/>
  </r>
  <r>
    <n v="161"/>
    <d v="2023-02-14T00:00:00"/>
    <s v="Электроника"/>
    <s v="Наушники"/>
    <n v="134279.8"/>
    <n v="6"/>
    <s v="Екатеринбург"/>
    <n v="805678.8"/>
    <s v="2023-02"/>
    <n v="190"/>
  </r>
  <r>
    <n v="242"/>
    <d v="2023-02-14T00:00:00"/>
    <s v="Товары для дома"/>
    <s v="Плед"/>
    <n v="29836.83"/>
    <n v="8"/>
    <s v="Москва"/>
    <n v="238694.64"/>
    <s v="2023-02"/>
    <n v="725"/>
  </r>
  <r>
    <n v="287"/>
    <d v="2023-02-14T00:00:00"/>
    <s v="Одежда"/>
    <s v="Футболка"/>
    <n v="11240.11"/>
    <n v="8"/>
    <s v="Москва"/>
    <n v="89920.88"/>
    <s v="2023-02"/>
    <n v="991"/>
  </r>
  <r>
    <n v="782"/>
    <d v="2023-02-14T00:00:00"/>
    <s v="Товары для дома"/>
    <s v="Подушка"/>
    <n v="25568.45"/>
    <n v="10"/>
    <s v="Санкт‑Петербург"/>
    <n v="255684.5"/>
    <s v="2023-02"/>
    <n v="693"/>
  </r>
  <r>
    <n v="721"/>
    <d v="2023-02-15T00:00:00"/>
    <s v="Одежда"/>
    <s v="Джинсы"/>
    <n v="93233.18"/>
    <n v="3"/>
    <s v="Санкт‑Петербург"/>
    <n v="279699.54"/>
    <s v="2023-02"/>
    <n v="658"/>
  </r>
  <r>
    <n v="1140"/>
    <d v="2023-02-15T00:00:00"/>
    <s v="Одежда"/>
    <s v="Джинсы"/>
    <n v="123572.47"/>
    <n v="1"/>
    <s v="Московская область"/>
    <n v="123572.47"/>
    <s v="2023-02"/>
    <n v="919"/>
  </r>
  <r>
    <n v="827"/>
    <d v="2023-02-16T00:00:00"/>
    <s v="Продукты"/>
    <s v="Шоколад"/>
    <n v="142290.94"/>
    <n v="6"/>
    <s v="Екатеринбург"/>
    <n v="853745.64"/>
    <s v="2023-02"/>
    <n v="163"/>
  </r>
  <r>
    <n v="1093"/>
    <d v="2023-02-16T00:00:00"/>
    <s v="Продукты"/>
    <s v="Молоко"/>
    <n v="129419.45"/>
    <n v="1"/>
    <s v="Санкт‑Петербург"/>
    <n v="129419.45"/>
    <s v="2023-02"/>
    <n v="905"/>
  </r>
  <r>
    <n v="81"/>
    <d v="2023-02-17T00:00:00"/>
    <s v="Одежда"/>
    <s v="Джинсы"/>
    <n v="1652"/>
    <n v="9"/>
    <s v="Екатеринбург"/>
    <n v="14868"/>
    <s v="2023-02"/>
    <n v="1168"/>
  </r>
  <r>
    <n v="28"/>
    <d v="2023-02-18T00:00:00"/>
    <s v="Продукты"/>
    <s v="Кофе"/>
    <n v="149424.18"/>
    <n v="3"/>
    <s v="Казань"/>
    <n v="448272.54"/>
    <s v="2023-02"/>
    <n v="454"/>
  </r>
  <r>
    <n v="564"/>
    <d v="2023-02-18T00:00:00"/>
    <s v="Одежда"/>
    <s v="Куртка"/>
    <n v="40048.67"/>
    <n v="9"/>
    <s v="Санкт‑Петербург"/>
    <n v="360438.03"/>
    <s v="2023-02"/>
    <n v="573"/>
  </r>
  <r>
    <n v="624"/>
    <d v="2023-02-18T00:00:00"/>
    <s v="Товары для дома"/>
    <s v="Полотенце"/>
    <n v="8596.57"/>
    <n v="1"/>
    <s v="Москва"/>
    <n v="8596.57"/>
    <s v="2023-02"/>
    <n v="1185"/>
  </r>
  <r>
    <n v="1118"/>
    <d v="2023-02-18T00:00:00"/>
    <s v="Электроника"/>
    <s v="Ноутбук"/>
    <n v="31616.66"/>
    <n v="9"/>
    <s v="Санкт‑Петербург"/>
    <n v="284549.94"/>
    <s v="2023-02"/>
    <n v="649"/>
  </r>
  <r>
    <n v="165"/>
    <d v="2023-02-20T00:00:00"/>
    <s v="Одежда"/>
    <s v="Куртка"/>
    <n v="33967.68"/>
    <n v="1"/>
    <s v="Москва"/>
    <n v="33967.68"/>
    <s v="2023-02"/>
    <n v="1117"/>
  </r>
  <r>
    <n v="699"/>
    <d v="2023-02-20T00:00:00"/>
    <s v="Продукты"/>
    <s v="Хлеб"/>
    <n v="64623.12"/>
    <n v="7"/>
    <s v="Екатеринбург"/>
    <n v="452361.84"/>
    <s v="2023-02"/>
    <n v="449"/>
  </r>
  <r>
    <n v="881"/>
    <d v="2023-02-20T00:00:00"/>
    <s v="Одежда"/>
    <s v="Куртка"/>
    <n v="108918.44"/>
    <n v="4"/>
    <s v="Екатеринбург"/>
    <n v="435673.76"/>
    <s v="2023-02"/>
    <n v="477"/>
  </r>
  <r>
    <n v="1138"/>
    <d v="2023-02-20T00:00:00"/>
    <s v="Товары для дома"/>
    <s v="Кружка"/>
    <n v="13168.07"/>
    <n v="2"/>
    <s v="Новосибирск"/>
    <n v="26336.14"/>
    <s v="2023-02"/>
    <n v="1138"/>
  </r>
  <r>
    <n v="238"/>
    <d v="2023-02-21T00:00:00"/>
    <s v="Продукты"/>
    <s v="Шоколад"/>
    <n v="79396.51"/>
    <n v="5"/>
    <s v="Новосибирск"/>
    <n v="396982.55"/>
    <s v="2023-02"/>
    <n v="522"/>
  </r>
  <r>
    <n v="290"/>
    <d v="2023-02-21T00:00:00"/>
    <s v="Товары для дома"/>
    <s v="Кружка"/>
    <n v="44360.85"/>
    <n v="4"/>
    <s v="Екатеринбург"/>
    <n v="177443.4"/>
    <s v="2023-02"/>
    <n v="815"/>
  </r>
  <r>
    <n v="472"/>
    <d v="2023-02-21T00:00:00"/>
    <s v="Электроника"/>
    <s v="Смартфон"/>
    <n v="73969.65"/>
    <n v="10"/>
    <s v="Москва"/>
    <n v="739696.5"/>
    <s v="2023-02"/>
    <n v="231"/>
  </r>
  <r>
    <n v="91"/>
    <d v="2023-02-23T00:00:00"/>
    <s v="Товары для дома"/>
    <s v="Подушка"/>
    <n v="24640.19"/>
    <n v="6"/>
    <s v="Казань"/>
    <n v="147841.14"/>
    <s v="2023-02"/>
    <n v="855"/>
  </r>
  <r>
    <n v="350"/>
    <d v="2023-02-23T00:00:00"/>
    <s v="Продукты"/>
    <s v="Кофе"/>
    <n v="101346.93"/>
    <n v="5"/>
    <s v="Московская область"/>
    <n v="506734.65"/>
    <s v="2023-02"/>
    <n v="402"/>
  </r>
  <r>
    <n v="443"/>
    <d v="2023-02-23T00:00:00"/>
    <s v="Электроника"/>
    <s v="Смартфон"/>
    <n v="143742.77"/>
    <n v="1"/>
    <s v="Москва"/>
    <n v="143742.77"/>
    <s v="2023-02"/>
    <n v="869"/>
  </r>
  <r>
    <n v="566"/>
    <d v="2023-02-23T00:00:00"/>
    <s v="Электроника"/>
    <s v="Наушники"/>
    <n v="8096.67"/>
    <n v="9"/>
    <s v="Московская область"/>
    <n v="72870.03"/>
    <s v="2023-02"/>
    <n v="1033"/>
  </r>
  <r>
    <n v="1156"/>
    <d v="2023-02-23T00:00:00"/>
    <s v="Товары для дома"/>
    <s v="Кружка"/>
    <n v="140813.76"/>
    <n v="6"/>
    <s v="Санкт‑Петербург"/>
    <n v="844882.56"/>
    <s v="2023-02"/>
    <n v="169"/>
  </r>
  <r>
    <n v="16"/>
    <d v="2023-02-24T00:00:00"/>
    <s v="Электроника"/>
    <s v="Планшет"/>
    <n v="112807.74"/>
    <n v="10"/>
    <s v="Екатеринбург"/>
    <n v="1128077.4"/>
    <s v="2023-02"/>
    <n v="55"/>
  </r>
  <r>
    <n v="431"/>
    <d v="2023-02-24T00:00:00"/>
    <s v="Товары для дома"/>
    <s v="Плед"/>
    <n v="121036.93"/>
    <n v="6"/>
    <s v="Санкт‑Петербург"/>
    <n v="726221.58"/>
    <s v="2023-02"/>
    <n v="244"/>
  </r>
  <r>
    <n v="280"/>
    <d v="2023-02-25T00:00:00"/>
    <s v="Товары для дома"/>
    <s v="Плед"/>
    <n v="11430.77"/>
    <n v="5"/>
    <s v="Москва"/>
    <n v="57153.85"/>
    <s v="2023-02"/>
    <n v="1069"/>
  </r>
  <r>
    <n v="1136"/>
    <d v="2023-02-25T00:00:00"/>
    <s v="Электроника"/>
    <s v="Ноутбук"/>
    <n v="19867.34"/>
    <n v="8"/>
    <s v="Новосибирск"/>
    <n v="158938.72"/>
    <s v="2023-02"/>
    <n v="841"/>
  </r>
  <r>
    <n v="1190"/>
    <d v="2023-02-25T00:00:00"/>
    <s v="Электроника"/>
    <s v="Ноутбук"/>
    <n v="71547.13"/>
    <n v="5"/>
    <s v="Санкт‑Петербург"/>
    <n v="357735.65"/>
    <s v="2023-02"/>
    <n v="575"/>
  </r>
  <r>
    <n v="844"/>
    <d v="2023-02-26T00:00:00"/>
    <s v="Одежда"/>
    <s v="Куртка"/>
    <n v="18985.4"/>
    <n v="10"/>
    <s v="Московская область"/>
    <n v="189854"/>
    <s v="2023-02"/>
    <n v="803"/>
  </r>
  <r>
    <n v="1108"/>
    <d v="2023-02-26T00:00:00"/>
    <s v="Товары для дома"/>
    <s v="Плед"/>
    <n v="18254.39"/>
    <n v="5"/>
    <s v="Казань"/>
    <n v="91271.95"/>
    <s v="2023-02"/>
    <n v="987"/>
  </r>
  <r>
    <n v="39"/>
    <d v="2023-02-27T00:00:00"/>
    <s v="Одежда"/>
    <s v="Футболка"/>
    <n v="47487.26"/>
    <n v="5"/>
    <s v="Екатеринбург"/>
    <n v="237436.3"/>
    <s v="2023-02"/>
    <n v="728"/>
  </r>
  <r>
    <n v="1086"/>
    <d v="2023-02-27T00:00:00"/>
    <s v="Электроника"/>
    <s v="Планшет"/>
    <n v="34908.69"/>
    <n v="10"/>
    <s v="Новосибирск"/>
    <n v="349086.9"/>
    <s v="2023-02"/>
    <n v="588"/>
  </r>
  <r>
    <n v="1119"/>
    <d v="2023-02-27T00:00:00"/>
    <s v="Товары для дома"/>
    <s v="Полотенце"/>
    <n v="25698.22"/>
    <n v="6"/>
    <s v="Московская область"/>
    <n v="154189.32"/>
    <s v="2023-02"/>
    <n v="846"/>
  </r>
  <r>
    <n v="106"/>
    <d v="2023-02-28T00:00:00"/>
    <s v="Электроника"/>
    <s v="Планшет"/>
    <n v="128046.64"/>
    <n v="9"/>
    <s v="Екатеринбург"/>
    <n v="1152419.76"/>
    <s v="2023-02"/>
    <n v="43"/>
  </r>
  <r>
    <n v="388"/>
    <d v="2023-02-28T00:00:00"/>
    <s v="Одежда"/>
    <s v="Куртка"/>
    <n v="103898.01"/>
    <n v="3"/>
    <s v="Московская область"/>
    <n v="311694.03"/>
    <s v="2023-02"/>
    <n v="625"/>
  </r>
  <r>
    <n v="697"/>
    <d v="2023-02-28T00:00:00"/>
    <s v="Электроника"/>
    <s v="Планшет"/>
    <n v="99135.74"/>
    <n v="9"/>
    <s v="Новосибирск"/>
    <n v="892221.66"/>
    <s v="2023-02"/>
    <n v="137"/>
  </r>
  <r>
    <n v="908"/>
    <d v="2023-02-28T00:00:00"/>
    <s v="Продукты"/>
    <s v="Молоко"/>
    <n v="48865.85"/>
    <n v="5"/>
    <s v="Казань"/>
    <n v="244329.25"/>
    <s v="2023-02"/>
    <n v="713"/>
  </r>
  <r>
    <n v="967"/>
    <d v="2023-02-28T00:00:00"/>
    <s v="Продукты"/>
    <s v="Молоко"/>
    <n v="16276.23"/>
    <n v="10"/>
    <s v="Санкт‑Петербург"/>
    <n v="162762.3"/>
    <s v="2023-02"/>
    <n v="832"/>
  </r>
  <r>
    <n v="1100"/>
    <d v="2023-02-28T00:00:00"/>
    <s v="Электроника"/>
    <s v="Смартфон"/>
    <n v="145589.24"/>
    <n v="9"/>
    <s v="Санкт‑Петербург"/>
    <n v="1310303.16"/>
    <s v="2023-02"/>
    <n v="16"/>
  </r>
  <r>
    <n v="317"/>
    <d v="2023-03-02T00:00:00"/>
    <s v="Электроника"/>
    <s v="Планшет"/>
    <n v="120573.67"/>
    <n v="6"/>
    <s v="Московская область"/>
    <n v="723442.02"/>
    <s v="2023-03"/>
    <n v="248"/>
  </r>
  <r>
    <n v="665"/>
    <d v="2023-03-02T00:00:00"/>
    <s v="Товары для дома"/>
    <s v="Плед"/>
    <n v="147121.94"/>
    <n v="8"/>
    <s v="Москва"/>
    <n v="1176975.52"/>
    <s v="2023-03"/>
    <n v="38"/>
  </r>
  <r>
    <n v="723"/>
    <d v="2023-03-02T00:00:00"/>
    <s v="Одежда"/>
    <s v="Футболка"/>
    <n v="75986.42"/>
    <n v="9"/>
    <s v="Казань"/>
    <n v="683877.78"/>
    <s v="2023-03"/>
    <n v="275"/>
  </r>
  <r>
    <n v="345"/>
    <d v="2023-03-03T00:00:00"/>
    <s v="Одежда"/>
    <s v="Футболка"/>
    <n v="64105.89"/>
    <n v="8"/>
    <s v="Казань"/>
    <n v="512847.12"/>
    <s v="2023-03"/>
    <n v="398"/>
  </r>
  <r>
    <n v="603"/>
    <d v="2023-03-03T00:00:00"/>
    <s v="Одежда"/>
    <s v="Кроссовки"/>
    <n v="133030.34"/>
    <n v="2"/>
    <s v="Москва"/>
    <n v="266060.68"/>
    <s v="2023-03"/>
    <n v="673"/>
  </r>
  <r>
    <n v="1078"/>
    <d v="2023-03-03T00:00:00"/>
    <s v="Электроника"/>
    <s v="Смартфон"/>
    <n v="42330.42"/>
    <n v="9"/>
    <s v="Московская область"/>
    <n v="380973.78"/>
    <s v="2023-03"/>
    <n v="546"/>
  </r>
  <r>
    <n v="1126"/>
    <d v="2023-03-03T00:00:00"/>
    <s v="Продукты"/>
    <s v="Хлеб"/>
    <n v="88270.57"/>
    <n v="5"/>
    <s v="Московская область"/>
    <n v="441352.85"/>
    <s v="2023-03"/>
    <n v="465"/>
  </r>
  <r>
    <n v="1142"/>
    <d v="2023-03-03T00:00:00"/>
    <s v="Электроника"/>
    <s v="Ноутбук"/>
    <n v="110220.05"/>
    <n v="7"/>
    <s v="Московская область"/>
    <n v="771540.35"/>
    <s v="2023-03"/>
    <n v="213"/>
  </r>
  <r>
    <n v="23"/>
    <d v="2023-03-04T00:00:00"/>
    <s v="Одежда"/>
    <s v="Кроссовки"/>
    <n v="5850.1"/>
    <n v="4"/>
    <s v="Казань"/>
    <n v="23400.4"/>
    <s v="2023-03"/>
    <n v="1146"/>
  </r>
  <r>
    <n v="332"/>
    <d v="2023-03-04T00:00:00"/>
    <s v="Продукты"/>
    <s v="Молоко"/>
    <n v="147070"/>
    <n v="1"/>
    <s v="Казань"/>
    <n v="147070"/>
    <s v="2023-03"/>
    <n v="860"/>
  </r>
  <r>
    <n v="354"/>
    <d v="2023-03-04T00:00:00"/>
    <s v="Электроника"/>
    <s v="Наушники"/>
    <n v="136717.91"/>
    <n v="10"/>
    <s v="Московская область"/>
    <n v="1367179.1"/>
    <s v="2023-03"/>
    <n v="7"/>
  </r>
  <r>
    <n v="638"/>
    <d v="2023-03-04T00:00:00"/>
    <s v="Товары для дома"/>
    <s v="Полотенце"/>
    <n v="97959.81"/>
    <n v="10"/>
    <s v="Московская область"/>
    <n v="979598.1"/>
    <s v="2023-03"/>
    <n v="97"/>
  </r>
  <r>
    <n v="808"/>
    <d v="2023-03-04T00:00:00"/>
    <s v="Одежда"/>
    <s v="Кроссовки"/>
    <n v="70223.39"/>
    <n v="8"/>
    <s v="Московская область"/>
    <n v="561787.12"/>
    <s v="2023-03"/>
    <n v="359"/>
  </r>
  <r>
    <n v="856"/>
    <d v="2023-03-04T00:00:00"/>
    <s v="Электроника"/>
    <s v="Ноутбук"/>
    <n v="115088.39"/>
    <n v="9"/>
    <s v="Москва"/>
    <n v="1035795.51"/>
    <s v="2023-03"/>
    <n v="78"/>
  </r>
  <r>
    <n v="142"/>
    <d v="2023-03-05T00:00:00"/>
    <s v="Электроника"/>
    <s v="Ноутбук"/>
    <n v="48620.44"/>
    <n v="9"/>
    <s v="Казань"/>
    <n v="437583.96"/>
    <s v="2023-03"/>
    <n v="472"/>
  </r>
  <r>
    <n v="219"/>
    <d v="2023-03-05T00:00:00"/>
    <s v="Товары для дома"/>
    <s v="Кружка"/>
    <n v="53683.12"/>
    <n v="2"/>
    <s v="Новосибирск"/>
    <n v="107366.24"/>
    <s v="2023-03"/>
    <n v="956"/>
  </r>
  <r>
    <n v="292"/>
    <d v="2023-03-05T00:00:00"/>
    <s v="Электроника"/>
    <s v="Смартфон"/>
    <n v="29948.22"/>
    <n v="2"/>
    <s v="Санкт‑Петербург"/>
    <n v="59896.44"/>
    <s v="2023-03"/>
    <n v="1059"/>
  </r>
  <r>
    <n v="1065"/>
    <d v="2023-03-05T00:00:00"/>
    <s v="Продукты"/>
    <s v="Хлеб"/>
    <n v="38994.45"/>
    <n v="9"/>
    <s v="Казань"/>
    <n v="350950.05"/>
    <s v="2023-03"/>
    <n v="585"/>
  </r>
  <r>
    <n v="747"/>
    <d v="2023-03-06T00:00:00"/>
    <s v="Продукты"/>
    <s v="Молоко"/>
    <n v="122175.96"/>
    <n v="2"/>
    <s v="Московская область"/>
    <n v="244351.92"/>
    <s v="2023-03"/>
    <n v="712"/>
  </r>
  <r>
    <n v="218"/>
    <d v="2023-03-07T00:00:00"/>
    <s v="Продукты"/>
    <s v="Шоколад"/>
    <n v="21184.16"/>
    <n v="7"/>
    <s v="Московская область"/>
    <n v="148289.12"/>
    <s v="2023-03"/>
    <n v="853"/>
  </r>
  <r>
    <n v="221"/>
    <d v="2023-03-07T00:00:00"/>
    <s v="Продукты"/>
    <s v="Хлеб"/>
    <n v="90586.72"/>
    <n v="4"/>
    <s v="Санкт‑Петербург"/>
    <n v="362346.88"/>
    <s v="2023-03"/>
    <n v="571"/>
  </r>
  <r>
    <n v="333"/>
    <d v="2023-03-07T00:00:00"/>
    <s v="Продукты"/>
    <s v="Кофе"/>
    <n v="38867.29"/>
    <n v="3"/>
    <s v="Новосибирск"/>
    <n v="116601.87"/>
    <s v="2023-03"/>
    <n v="937"/>
  </r>
  <r>
    <n v="378"/>
    <d v="2023-03-07T00:00:00"/>
    <s v="Товары для дома"/>
    <s v="Кружка"/>
    <n v="94032.58"/>
    <n v="2"/>
    <s v="Екатеринбург"/>
    <n v="188065.16"/>
    <s v="2023-03"/>
    <n v="807"/>
  </r>
  <r>
    <n v="458"/>
    <d v="2023-03-07T00:00:00"/>
    <s v="Продукты"/>
    <s v="Шоколад"/>
    <n v="39637.85"/>
    <n v="1"/>
    <s v="Санкт‑Петербург"/>
    <n v="39637.85"/>
    <s v="2023-03"/>
    <n v="1106"/>
  </r>
  <r>
    <n v="1033"/>
    <d v="2023-03-07T00:00:00"/>
    <s v="Продукты"/>
    <s v="Хлеб"/>
    <n v="98390.17"/>
    <n v="6"/>
    <s v="Московская область"/>
    <n v="590341.02"/>
    <s v="2023-03"/>
    <n v="325"/>
  </r>
  <r>
    <n v="13"/>
    <d v="2023-03-08T00:00:00"/>
    <s v="Продукты"/>
    <s v="Молоко"/>
    <n v="89350.27"/>
    <n v="9"/>
    <s v="Казань"/>
    <n v="804152.43"/>
    <s v="2023-03"/>
    <n v="194"/>
  </r>
  <r>
    <n v="43"/>
    <d v="2023-03-08T00:00:00"/>
    <s v="Продукты"/>
    <s v="Молоко"/>
    <n v="10114.8"/>
    <n v="9"/>
    <s v="Екатеринбург"/>
    <n v="91033.2"/>
    <s v="2023-03"/>
    <n v="989"/>
  </r>
  <r>
    <n v="523"/>
    <d v="2023-03-08T00:00:00"/>
    <s v="Продукты"/>
    <s v="Молоко"/>
    <n v="126963.99"/>
    <n v="10"/>
    <s v="Екатеринбург"/>
    <n v="1269639.9"/>
    <s v="2023-03"/>
    <n v="23"/>
  </r>
  <r>
    <n v="922"/>
    <d v="2023-03-08T00:00:00"/>
    <s v="Одежда"/>
    <s v="Кроссовки"/>
    <n v="68069.58"/>
    <n v="2"/>
    <s v="Москва"/>
    <n v="136139.16"/>
    <s v="2023-03"/>
    <n v="888"/>
  </r>
  <r>
    <n v="712"/>
    <d v="2023-03-09T00:00:00"/>
    <s v="Одежда"/>
    <s v="Куртка"/>
    <n v="27739.57"/>
    <n v="8"/>
    <s v="Новосибирск"/>
    <n v="221916.56"/>
    <s v="2023-03"/>
    <n v="750"/>
  </r>
  <r>
    <n v="739"/>
    <d v="2023-03-10T00:00:00"/>
    <s v="Продукты"/>
    <s v="Молоко"/>
    <n v="147358.15"/>
    <n v="5"/>
    <s v="Новосибирск"/>
    <n v="736790.75"/>
    <s v="2023-03"/>
    <n v="234"/>
  </r>
  <r>
    <n v="781"/>
    <d v="2023-03-10T00:00:00"/>
    <s v="Товары для дома"/>
    <s v="Плед"/>
    <n v="102152.01"/>
    <n v="8"/>
    <s v="Новосибирск"/>
    <n v="817216.08"/>
    <s v="2023-03"/>
    <n v="184"/>
  </r>
  <r>
    <n v="818"/>
    <d v="2023-03-10T00:00:00"/>
    <s v="Электроника"/>
    <s v="Наушники"/>
    <n v="27117.5"/>
    <n v="2"/>
    <s v="Казань"/>
    <n v="54235"/>
    <s v="2023-03"/>
    <n v="1077"/>
  </r>
  <r>
    <n v="886"/>
    <d v="2023-03-11T00:00:00"/>
    <s v="Одежда"/>
    <s v="Куртка"/>
    <n v="75140.47"/>
    <n v="9"/>
    <s v="Московская область"/>
    <n v="676264.23"/>
    <s v="2023-03"/>
    <n v="282"/>
  </r>
  <r>
    <n v="878"/>
    <d v="2023-03-12T00:00:00"/>
    <s v="Одежда"/>
    <s v="Кроссовки"/>
    <n v="112356.14"/>
    <n v="1"/>
    <s v="Новосибирск"/>
    <n v="112356.14"/>
    <s v="2023-03"/>
    <n v="944"/>
  </r>
  <r>
    <n v="926"/>
    <d v="2023-03-12T00:00:00"/>
    <s v="Одежда"/>
    <s v="Футболка"/>
    <n v="78474.6"/>
    <n v="5"/>
    <s v="Санкт‑Петербург"/>
    <n v="392373"/>
    <s v="2023-03"/>
    <n v="534"/>
  </r>
  <r>
    <n v="50"/>
    <d v="2023-03-13T00:00:00"/>
    <s v="Товары для дома"/>
    <s v="Полотенце"/>
    <n v="48262.48"/>
    <n v="6"/>
    <s v="Москва"/>
    <n v="289574.88"/>
    <s v="2023-03"/>
    <n v="643"/>
  </r>
  <r>
    <n v="733"/>
    <d v="2023-03-13T00:00:00"/>
    <s v="Электроника"/>
    <s v="Наушники"/>
    <n v="54168.28"/>
    <n v="3"/>
    <s v="Новосибирск"/>
    <n v="162504.84"/>
    <s v="2023-03"/>
    <n v="833"/>
  </r>
  <r>
    <n v="982"/>
    <d v="2023-03-13T00:00:00"/>
    <s v="Электроника"/>
    <s v="Ноутбук"/>
    <n v="81915.66"/>
    <n v="6"/>
    <s v="Московская область"/>
    <n v="491493.96"/>
    <s v="2023-03"/>
    <n v="419"/>
  </r>
  <r>
    <n v="1052"/>
    <d v="2023-03-13T00:00:00"/>
    <s v="Одежда"/>
    <s v="Кроссовки"/>
    <n v="23623.76"/>
    <n v="4"/>
    <s v="Казань"/>
    <n v="94495.04"/>
    <s v="2023-03"/>
    <n v="981"/>
  </r>
  <r>
    <n v="146"/>
    <d v="2023-03-14T00:00:00"/>
    <s v="Товары для дома"/>
    <s v="Плед"/>
    <n v="121467.14"/>
    <n v="8"/>
    <s v="Московская область"/>
    <n v="971737.12"/>
    <s v="2023-03"/>
    <n v="100"/>
  </r>
  <r>
    <n v="656"/>
    <d v="2023-03-14T00:00:00"/>
    <s v="Электроника"/>
    <s v="Наушники"/>
    <n v="89121.11"/>
    <n v="8"/>
    <s v="Москва"/>
    <n v="712968.88"/>
    <s v="2023-03"/>
    <n v="254"/>
  </r>
  <r>
    <n v="1047"/>
    <d v="2023-03-15T00:00:00"/>
    <s v="Одежда"/>
    <s v="Куртка"/>
    <n v="27496.97"/>
    <n v="7"/>
    <s v="Москва"/>
    <n v="192478.79"/>
    <s v="2023-03"/>
    <n v="801"/>
  </r>
  <r>
    <n v="150"/>
    <d v="2023-03-17T00:00:00"/>
    <s v="Электроника"/>
    <s v="Планшет"/>
    <n v="133090.1"/>
    <n v="3"/>
    <s v="Московская область"/>
    <n v="399270.3"/>
    <s v="2023-03"/>
    <n v="518"/>
  </r>
  <r>
    <n v="862"/>
    <d v="2023-03-17T00:00:00"/>
    <s v="Товары для дома"/>
    <s v="Полотенце"/>
    <n v="77006.17"/>
    <n v="10"/>
    <s v="Новосибирск"/>
    <n v="770061.7"/>
    <s v="2023-03"/>
    <n v="217"/>
  </r>
  <r>
    <n v="1010"/>
    <d v="2023-03-17T00:00:00"/>
    <s v="Одежда"/>
    <s v="Кроссовки"/>
    <n v="135403.37"/>
    <n v="4"/>
    <s v="Екатеринбург"/>
    <n v="541613.48"/>
    <s v="2023-03"/>
    <n v="375"/>
  </r>
  <r>
    <n v="883"/>
    <d v="2023-03-18T00:00:00"/>
    <s v="Одежда"/>
    <s v="Футболка"/>
    <n v="81158.53"/>
    <n v="7"/>
    <s v="Санкт‑Петербург"/>
    <n v="568109.71"/>
    <s v="2023-03"/>
    <n v="354"/>
  </r>
  <r>
    <n v="562"/>
    <d v="2023-03-19T00:00:00"/>
    <s v="Продукты"/>
    <s v="Хлеб"/>
    <n v="24297.48"/>
    <n v="6"/>
    <s v="Московская область"/>
    <n v="145784.88"/>
    <s v="2023-03"/>
    <n v="863"/>
  </r>
  <r>
    <n v="630"/>
    <d v="2023-03-19T00:00:00"/>
    <s v="Продукты"/>
    <s v="Шоколад"/>
    <n v="1655.72"/>
    <n v="2"/>
    <s v="Москва"/>
    <n v="3311.44"/>
    <s v="2023-03"/>
    <n v="1194"/>
  </r>
  <r>
    <n v="1071"/>
    <d v="2023-03-19T00:00:00"/>
    <s v="Продукты"/>
    <s v="Шоколад"/>
    <n v="81253.35"/>
    <n v="1"/>
    <s v="Екатеринбург"/>
    <n v="81253.35"/>
    <s v="2023-03"/>
    <n v="1012"/>
  </r>
  <r>
    <n v="1072"/>
    <d v="2023-03-19T00:00:00"/>
    <s v="Электроника"/>
    <s v="Планшет"/>
    <n v="77800.88"/>
    <n v="5"/>
    <s v="Казань"/>
    <n v="389004.4"/>
    <s v="2023-03"/>
    <n v="537"/>
  </r>
  <r>
    <n v="1082"/>
    <d v="2023-03-19T00:00:00"/>
    <s v="Одежда"/>
    <s v="Джинсы"/>
    <n v="13586.3"/>
    <n v="1"/>
    <s v="Казань"/>
    <n v="13586.3"/>
    <s v="2023-03"/>
    <n v="1171"/>
  </r>
  <r>
    <n v="1185"/>
    <d v="2023-03-20T00:00:00"/>
    <s v="Товары для дома"/>
    <s v="Кружка"/>
    <n v="92124.8"/>
    <n v="10"/>
    <s v="Екатеринбург"/>
    <n v="921248"/>
    <s v="2023-03"/>
    <n v="122"/>
  </r>
  <r>
    <n v="452"/>
    <d v="2023-03-22T00:00:00"/>
    <s v="Одежда"/>
    <s v="Джинсы"/>
    <n v="31425.86"/>
    <n v="1"/>
    <s v="Екатеринбург"/>
    <n v="31425.86"/>
    <s v="2023-03"/>
    <n v="1122"/>
  </r>
  <r>
    <n v="618"/>
    <d v="2023-03-22T00:00:00"/>
    <s v="Товары для дома"/>
    <s v="Подушка"/>
    <n v="83019.22"/>
    <n v="4"/>
    <s v="Санкт‑Петербург"/>
    <n v="332076.88"/>
    <s v="2023-03"/>
    <n v="598"/>
  </r>
  <r>
    <n v="891"/>
    <d v="2023-03-22T00:00:00"/>
    <s v="Продукты"/>
    <s v="Молоко"/>
    <n v="110531.67"/>
    <n v="5"/>
    <s v="Екатеринбург"/>
    <n v="552658.35"/>
    <s v="2023-03"/>
    <n v="365"/>
  </r>
  <r>
    <n v="1124"/>
    <d v="2023-03-22T00:00:00"/>
    <s v="Электроника"/>
    <s v="Смартфон"/>
    <n v="40111.61"/>
    <n v="7"/>
    <s v="Новосибирск"/>
    <n v="280781.27"/>
    <s v="2023-03"/>
    <n v="656"/>
  </r>
  <r>
    <n v="593"/>
    <d v="2023-03-23T00:00:00"/>
    <s v="Продукты"/>
    <s v="Кофе"/>
    <n v="61659.93"/>
    <n v="7"/>
    <s v="Новосибирск"/>
    <n v="431619.51"/>
    <s v="2023-03"/>
    <n v="479"/>
  </r>
  <r>
    <n v="693"/>
    <d v="2023-03-23T00:00:00"/>
    <s v="Продукты"/>
    <s v="Шоколад"/>
    <n v="14391.3"/>
    <n v="4"/>
    <s v="Санкт‑Петербург"/>
    <n v="57565.2"/>
    <s v="2023-03"/>
    <n v="1066"/>
  </r>
  <r>
    <n v="101"/>
    <d v="2023-03-24T00:00:00"/>
    <s v="Одежда"/>
    <s v="Кроссовки"/>
    <n v="24800.36"/>
    <n v="5"/>
    <s v="Москва"/>
    <n v="124001.8"/>
    <s v="2023-03"/>
    <n v="916"/>
  </r>
  <r>
    <n v="440"/>
    <d v="2023-03-24T00:00:00"/>
    <s v="Продукты"/>
    <s v="Хлеб"/>
    <n v="119760.13"/>
    <n v="7"/>
    <s v="Екатеринбург"/>
    <n v="838320.91"/>
    <s v="2023-03"/>
    <n v="173"/>
  </r>
  <r>
    <n v="698"/>
    <d v="2023-03-24T00:00:00"/>
    <s v="Товары для дома"/>
    <s v="Полотенце"/>
    <n v="36441.35"/>
    <n v="9"/>
    <s v="Московская область"/>
    <n v="327972.15"/>
    <s v="2023-03"/>
    <n v="604"/>
  </r>
  <r>
    <n v="269"/>
    <d v="2023-03-26T00:00:00"/>
    <s v="Одежда"/>
    <s v="Футболка"/>
    <n v="23528.84"/>
    <n v="2"/>
    <s v="Новосибирск"/>
    <n v="47057.68"/>
    <s v="2023-03"/>
    <n v="1093"/>
  </r>
  <r>
    <n v="339"/>
    <d v="2023-03-26T00:00:00"/>
    <s v="Продукты"/>
    <s v="Кофе"/>
    <n v="139982.61"/>
    <n v="6"/>
    <s v="Екатеринбург"/>
    <n v="839895.66"/>
    <s v="2023-03"/>
    <n v="171"/>
  </r>
  <r>
    <n v="728"/>
    <d v="2023-03-26T00:00:00"/>
    <s v="Электроника"/>
    <s v="Наушники"/>
    <n v="23649.3"/>
    <n v="10"/>
    <s v="Санкт‑Петербург"/>
    <n v="236493"/>
    <s v="2023-03"/>
    <n v="729"/>
  </r>
  <r>
    <n v="842"/>
    <d v="2023-03-26T00:00:00"/>
    <s v="Товары для дома"/>
    <s v="Кружка"/>
    <n v="55179.96"/>
    <n v="1"/>
    <s v="Санкт‑Петербург"/>
    <n v="55179.96"/>
    <s v="2023-03"/>
    <n v="1075"/>
  </r>
  <r>
    <n v="877"/>
    <d v="2023-03-26T00:00:00"/>
    <s v="Товары для дома"/>
    <s v="Полотенце"/>
    <n v="5940.27"/>
    <n v="4"/>
    <s v="Екатеринбург"/>
    <n v="23761.08"/>
    <s v="2023-03"/>
    <n v="1145"/>
  </r>
  <r>
    <n v="973"/>
    <d v="2023-03-26T00:00:00"/>
    <s v="Продукты"/>
    <s v="Молоко"/>
    <n v="13710.09"/>
    <n v="1"/>
    <s v="Московская область"/>
    <n v="13710.09"/>
    <s v="2023-03"/>
    <n v="1170"/>
  </r>
  <r>
    <n v="189"/>
    <d v="2023-03-27T00:00:00"/>
    <s v="Одежда"/>
    <s v="Футболка"/>
    <n v="2554.73"/>
    <n v="5"/>
    <s v="Казань"/>
    <n v="12773.65"/>
    <s v="2023-03"/>
    <n v="1174"/>
  </r>
  <r>
    <n v="194"/>
    <d v="2023-03-27T00:00:00"/>
    <s v="Товары для дома"/>
    <s v="Полотенце"/>
    <n v="4597.96"/>
    <n v="1"/>
    <s v="Казань"/>
    <n v="4597.96"/>
    <s v="2023-03"/>
    <n v="1192"/>
  </r>
  <r>
    <n v="264"/>
    <d v="2023-03-27T00:00:00"/>
    <s v="Электроника"/>
    <s v="Ноутбук"/>
    <n v="147762.48"/>
    <n v="3"/>
    <s v="Екатеринбург"/>
    <n v="443287.44"/>
    <s v="2023-03"/>
    <n v="461"/>
  </r>
  <r>
    <n v="542"/>
    <d v="2023-03-27T00:00:00"/>
    <s v="Товары для дома"/>
    <s v="Подушка"/>
    <n v="133645.54"/>
    <n v="3"/>
    <s v="Московская область"/>
    <n v="400936.62"/>
    <s v="2023-03"/>
    <n v="514"/>
  </r>
  <r>
    <n v="976"/>
    <d v="2023-03-28T00:00:00"/>
    <s v="Товары для дома"/>
    <s v="Кружка"/>
    <n v="132712.03"/>
    <n v="5"/>
    <s v="Екатеринбург"/>
    <n v="663560.15"/>
    <s v="2023-03"/>
    <n v="291"/>
  </r>
  <r>
    <n v="1073"/>
    <d v="2023-03-28T00:00:00"/>
    <s v="Электроника"/>
    <s v="Планшет"/>
    <n v="123659.73"/>
    <n v="8"/>
    <s v="Новосибирск"/>
    <n v="989277.84"/>
    <s v="2023-03"/>
    <n v="93"/>
  </r>
  <r>
    <n v="29"/>
    <d v="2023-03-29T00:00:00"/>
    <s v="Электроника"/>
    <s v="Планшет"/>
    <n v="139479.29"/>
    <n v="10"/>
    <s v="Екатеринбург"/>
    <n v="1394792.9"/>
    <s v="2023-03"/>
    <n v="6"/>
  </r>
  <r>
    <n v="576"/>
    <d v="2023-03-29T00:00:00"/>
    <s v="Электроника"/>
    <s v="Смартфон"/>
    <n v="130055.48"/>
    <n v="7"/>
    <s v="Санкт‑Петербург"/>
    <n v="910388.36"/>
    <s v="2023-03"/>
    <n v="132"/>
  </r>
  <r>
    <n v="771"/>
    <d v="2023-03-29T00:00:00"/>
    <s v="Одежда"/>
    <s v="Футболка"/>
    <n v="126544.85"/>
    <n v="8"/>
    <s v="Казань"/>
    <n v="1012358.8"/>
    <s v="2023-03"/>
    <n v="86"/>
  </r>
  <r>
    <n v="953"/>
    <d v="2023-03-29T00:00:00"/>
    <s v="Одежда"/>
    <s v="Футболка"/>
    <n v="99534.03"/>
    <n v="4"/>
    <s v="Новосибирск"/>
    <n v="398136.12"/>
    <s v="2023-03"/>
    <n v="520"/>
  </r>
  <r>
    <n v="969"/>
    <d v="2023-03-29T00:00:00"/>
    <s v="Продукты"/>
    <s v="Молоко"/>
    <n v="141809.49"/>
    <n v="2"/>
    <s v="Екатеринбург"/>
    <n v="283618.98"/>
    <s v="2023-03"/>
    <n v="652"/>
  </r>
  <r>
    <n v="358"/>
    <d v="2023-03-30T00:00:00"/>
    <s v="Электроника"/>
    <s v="Наушники"/>
    <n v="78329.22"/>
    <n v="9"/>
    <s v="Московская область"/>
    <n v="704962.98"/>
    <s v="2023-03"/>
    <n v="260"/>
  </r>
  <r>
    <n v="478"/>
    <d v="2023-03-30T00:00:00"/>
    <s v="Товары для дома"/>
    <s v="Плед"/>
    <n v="64318.9"/>
    <n v="6"/>
    <s v="Москва"/>
    <n v="385913.4"/>
    <s v="2023-03"/>
    <n v="543"/>
  </r>
  <r>
    <n v="742"/>
    <d v="2023-03-30T00:00:00"/>
    <s v="Электроника"/>
    <s v="Наушники"/>
    <n v="14962.8"/>
    <n v="8"/>
    <s v="Казань"/>
    <n v="119702.4"/>
    <s v="2023-03"/>
    <n v="927"/>
  </r>
  <r>
    <n v="424"/>
    <d v="2023-03-31T00:00:00"/>
    <s v="Товары для дома"/>
    <s v="Кружка"/>
    <n v="101747.64"/>
    <n v="10"/>
    <s v="Московская область"/>
    <n v="1017476.4"/>
    <s v="2023-03"/>
    <n v="82"/>
  </r>
  <r>
    <n v="720"/>
    <d v="2023-03-31T00:00:00"/>
    <s v="Продукты"/>
    <s v="Молоко"/>
    <n v="135728.99"/>
    <n v="9"/>
    <s v="Казань"/>
    <n v="1221560.91"/>
    <s v="2023-03"/>
    <n v="27"/>
  </r>
  <r>
    <n v="826"/>
    <d v="2023-03-31T00:00:00"/>
    <s v="Электроника"/>
    <s v="Ноутбук"/>
    <n v="98587.63"/>
    <n v="1"/>
    <s v="Московская область"/>
    <n v="98587.63"/>
    <s v="2023-03"/>
    <n v="972"/>
  </r>
  <r>
    <n v="149"/>
    <d v="2023-04-01T00:00:00"/>
    <s v="Продукты"/>
    <s v="Молоко"/>
    <n v="26505.13"/>
    <n v="10"/>
    <s v="Санкт‑Петербург"/>
    <n v="265051.3"/>
    <s v="2023-04"/>
    <n v="676"/>
  </r>
  <r>
    <n v="1195"/>
    <d v="2023-04-01T00:00:00"/>
    <s v="Одежда"/>
    <s v="Джинсы"/>
    <n v="105890.8"/>
    <n v="5"/>
    <s v="Казань"/>
    <n v="529454"/>
    <s v="2023-04"/>
    <n v="386"/>
  </r>
  <r>
    <n v="210"/>
    <d v="2023-04-02T00:00:00"/>
    <s v="Одежда"/>
    <s v="Джинсы"/>
    <n v="59201.87"/>
    <n v="2"/>
    <s v="Санкт‑Петербург"/>
    <n v="118403.74"/>
    <s v="2023-04"/>
    <n v="932"/>
  </r>
  <r>
    <n v="499"/>
    <d v="2023-04-02T00:00:00"/>
    <s v="Продукты"/>
    <s v="Шоколад"/>
    <n v="122195.74"/>
    <n v="2"/>
    <s v="Казань"/>
    <n v="244391.48"/>
    <s v="2023-04"/>
    <n v="711"/>
  </r>
  <r>
    <n v="522"/>
    <d v="2023-04-02T00:00:00"/>
    <s v="Продукты"/>
    <s v="Хлеб"/>
    <n v="32226.01"/>
    <n v="4"/>
    <s v="Московская область"/>
    <n v="128904.04"/>
    <s v="2023-04"/>
    <n v="908"/>
  </r>
  <r>
    <n v="939"/>
    <d v="2023-04-02T00:00:00"/>
    <s v="Электроника"/>
    <s v="Наушники"/>
    <n v="3624.85"/>
    <n v="2"/>
    <s v="Екатеринбург"/>
    <n v="7249.7"/>
    <s v="2023-04"/>
    <n v="1188"/>
  </r>
  <r>
    <n v="441"/>
    <d v="2023-04-03T00:00:00"/>
    <s v="Одежда"/>
    <s v="Кроссовки"/>
    <n v="13897.12"/>
    <n v="10"/>
    <s v="Новосибирск"/>
    <n v="138971.2"/>
    <s v="2023-04"/>
    <n v="881"/>
  </r>
  <r>
    <n v="539"/>
    <d v="2023-04-03T00:00:00"/>
    <s v="Товары для дома"/>
    <s v="Кружка"/>
    <n v="94813.91"/>
    <n v="7"/>
    <s v="Новосибирск"/>
    <n v="663697.37"/>
    <s v="2023-04"/>
    <n v="290"/>
  </r>
  <r>
    <n v="674"/>
    <d v="2023-04-03T00:00:00"/>
    <s v="Электроника"/>
    <s v="Ноутбук"/>
    <n v="110157.69"/>
    <n v="7"/>
    <s v="Санкт‑Петербург"/>
    <n v="771103.83"/>
    <s v="2023-04"/>
    <n v="214"/>
  </r>
  <r>
    <n v="794"/>
    <d v="2023-04-04T00:00:00"/>
    <s v="Электроника"/>
    <s v="Смартфон"/>
    <n v="744.67"/>
    <n v="5"/>
    <s v="Казань"/>
    <n v="3723.35"/>
    <s v="2023-04"/>
    <n v="1193"/>
  </r>
  <r>
    <n v="960"/>
    <d v="2023-04-04T00:00:00"/>
    <s v="Продукты"/>
    <s v="Кофе"/>
    <n v="104177.95"/>
    <n v="4"/>
    <s v="Москва"/>
    <n v="416711.8"/>
    <s v="2023-04"/>
    <n v="498"/>
  </r>
  <r>
    <n v="801"/>
    <d v="2023-04-05T00:00:00"/>
    <s v="Продукты"/>
    <s v="Молоко"/>
    <n v="110347.26"/>
    <n v="3"/>
    <s v="Санкт‑Петербург"/>
    <n v="331041.78"/>
    <s v="2023-04"/>
    <n v="600"/>
  </r>
  <r>
    <n v="182"/>
    <d v="2023-04-06T00:00:00"/>
    <s v="Товары для дома"/>
    <s v="Подушка"/>
    <n v="129551.25"/>
    <n v="1"/>
    <s v="Екатеринбург"/>
    <n v="129551.25"/>
    <s v="2023-04"/>
    <n v="904"/>
  </r>
  <r>
    <n v="1096"/>
    <d v="2023-04-06T00:00:00"/>
    <s v="Товары для дома"/>
    <s v="Кружка"/>
    <n v="6635.76"/>
    <n v="3"/>
    <s v="Новосибирск"/>
    <n v="19907.28"/>
    <s v="2023-04"/>
    <n v="1153"/>
  </r>
  <r>
    <n v="581"/>
    <d v="2023-04-07T00:00:00"/>
    <s v="Одежда"/>
    <s v="Джинсы"/>
    <n v="40638.92"/>
    <n v="6"/>
    <s v="Санкт‑Петербург"/>
    <n v="243833.52"/>
    <s v="2023-04"/>
    <n v="714"/>
  </r>
  <r>
    <n v="616"/>
    <d v="2023-04-07T00:00:00"/>
    <s v="Электроника"/>
    <s v="Планшет"/>
    <n v="128183.1"/>
    <n v="2"/>
    <s v="Москва"/>
    <n v="256366.2"/>
    <s v="2023-04"/>
    <n v="691"/>
  </r>
  <r>
    <n v="839"/>
    <d v="2023-04-07T00:00:00"/>
    <s v="Продукты"/>
    <s v="Шоколад"/>
    <n v="54753.1"/>
    <n v="8"/>
    <s v="Казань"/>
    <n v="438024.8"/>
    <s v="2023-04"/>
    <n v="471"/>
  </r>
  <r>
    <n v="310"/>
    <d v="2023-04-08T00:00:00"/>
    <s v="Электроника"/>
    <s v="Планшет"/>
    <n v="141394.94"/>
    <n v="8"/>
    <s v="Казань"/>
    <n v="1131159.52"/>
    <s v="2023-04"/>
    <n v="53"/>
  </r>
  <r>
    <n v="533"/>
    <d v="2023-04-08T00:00:00"/>
    <s v="Товары для дома"/>
    <s v="Кружка"/>
    <n v="90995.6"/>
    <n v="3"/>
    <s v="Московская область"/>
    <n v="272986.8"/>
    <s v="2023-04"/>
    <n v="667"/>
  </r>
  <r>
    <n v="920"/>
    <d v="2023-04-08T00:00:00"/>
    <s v="Продукты"/>
    <s v="Хлеб"/>
    <n v="98898.06"/>
    <n v="5"/>
    <s v="Санкт‑Петербург"/>
    <n v="494490.3"/>
    <s v="2023-04"/>
    <n v="416"/>
  </r>
  <r>
    <n v="962"/>
    <d v="2023-04-08T00:00:00"/>
    <s v="Электроника"/>
    <s v="Ноутбук"/>
    <n v="135134.33"/>
    <n v="1"/>
    <s v="Казань"/>
    <n v="135134.33"/>
    <s v="2023-04"/>
    <n v="892"/>
  </r>
  <r>
    <n v="1194"/>
    <d v="2023-04-08T00:00:00"/>
    <s v="Продукты"/>
    <s v="Шоколад"/>
    <n v="121930.43"/>
    <n v="5"/>
    <s v="Новосибирск"/>
    <n v="609652.15"/>
    <s v="2023-04"/>
    <n v="311"/>
  </r>
  <r>
    <n v="226"/>
    <d v="2023-04-09T00:00:00"/>
    <s v="Товары для дома"/>
    <s v="Полотенце"/>
    <n v="31993.25"/>
    <n v="5"/>
    <s v="Москва"/>
    <n v="159966.25"/>
    <s v="2023-04"/>
    <n v="839"/>
  </r>
  <r>
    <n v="666"/>
    <d v="2023-04-09T00:00:00"/>
    <s v="Товары для дома"/>
    <s v="Плед"/>
    <n v="104700.34"/>
    <n v="7"/>
    <s v="Санкт‑Петербург"/>
    <n v="732902.38"/>
    <s v="2023-04"/>
    <n v="239"/>
  </r>
  <r>
    <n v="861"/>
    <d v="2023-04-09T00:00:00"/>
    <s v="Продукты"/>
    <s v="Кофе"/>
    <n v="125304.82"/>
    <n v="6"/>
    <s v="Москва"/>
    <n v="751828.92"/>
    <s v="2023-04"/>
    <n v="227"/>
  </r>
  <r>
    <n v="1"/>
    <d v="2023-04-10T00:00:00"/>
    <s v="Товары для дома"/>
    <s v="Кружка"/>
    <n v="7871.6"/>
    <n v="6"/>
    <s v="Санкт‑Петербург"/>
    <n v="47229.6"/>
    <s v="2023-04"/>
    <n v="1092"/>
  </r>
  <r>
    <n v="470"/>
    <d v="2023-04-10T00:00:00"/>
    <s v="Товары для дома"/>
    <s v="Плед"/>
    <n v="111384.18"/>
    <n v="7"/>
    <s v="Екатеринбург"/>
    <n v="779689.26"/>
    <s v="2023-04"/>
    <n v="205"/>
  </r>
  <r>
    <n v="506"/>
    <d v="2023-04-10T00:00:00"/>
    <s v="Товары для дома"/>
    <s v="Кружка"/>
    <n v="48206.04"/>
    <n v="4"/>
    <s v="Санкт‑Петербург"/>
    <n v="192824.16"/>
    <s v="2023-04"/>
    <n v="800"/>
  </r>
  <r>
    <n v="865"/>
    <d v="2023-04-10T00:00:00"/>
    <s v="Одежда"/>
    <s v="Джинсы"/>
    <n v="33177.85"/>
    <n v="10"/>
    <s v="Казань"/>
    <n v="331778.5"/>
    <s v="2023-04"/>
    <n v="599"/>
  </r>
  <r>
    <n v="1170"/>
    <d v="2023-04-10T00:00:00"/>
    <s v="Электроника"/>
    <s v="Смартфон"/>
    <n v="101969.33"/>
    <n v="4"/>
    <s v="Московская область"/>
    <n v="407877.32"/>
    <s v="2023-04"/>
    <n v="507"/>
  </r>
  <r>
    <n v="15"/>
    <d v="2023-04-11T00:00:00"/>
    <s v="Одежда"/>
    <s v="Джинсы"/>
    <n v="120909.43"/>
    <n v="3"/>
    <s v="Санкт‑Петербург"/>
    <n v="362728.29"/>
    <s v="2023-04"/>
    <n v="569"/>
  </r>
  <r>
    <n v="897"/>
    <d v="2023-04-11T00:00:00"/>
    <s v="Продукты"/>
    <s v="Кофе"/>
    <n v="112600.55"/>
    <n v="10"/>
    <s v="Санкт‑Петербург"/>
    <n v="1126005.5"/>
    <s v="2023-04"/>
    <n v="56"/>
  </r>
  <r>
    <n v="1159"/>
    <d v="2023-04-11T00:00:00"/>
    <s v="Одежда"/>
    <s v="Футболка"/>
    <n v="75369.1"/>
    <n v="10"/>
    <s v="Московская область"/>
    <n v="753691"/>
    <s v="2023-04"/>
    <n v="225"/>
  </r>
  <r>
    <n v="259"/>
    <d v="2023-04-12T00:00:00"/>
    <s v="Электроника"/>
    <s v="Планшет"/>
    <n v="10931.97"/>
    <n v="4"/>
    <s v="Казань"/>
    <n v="43727.88"/>
    <s v="2023-04"/>
    <n v="1100"/>
  </r>
  <r>
    <n v="281"/>
    <d v="2023-04-12T00:00:00"/>
    <s v="Одежда"/>
    <s v="Джинсы"/>
    <n v="16407.54"/>
    <n v="6"/>
    <s v="Санкт‑Петербург"/>
    <n v="98445.24"/>
    <s v="2023-04"/>
    <n v="973"/>
  </r>
  <r>
    <n v="719"/>
    <d v="2023-04-12T00:00:00"/>
    <s v="Одежда"/>
    <s v="Футболка"/>
    <n v="89425.8"/>
    <n v="10"/>
    <s v="Москва"/>
    <n v="894258"/>
    <s v="2023-04"/>
    <n v="136"/>
  </r>
  <r>
    <n v="812"/>
    <d v="2023-04-12T00:00:00"/>
    <s v="Одежда"/>
    <s v="Футболка"/>
    <n v="32174.45"/>
    <n v="6"/>
    <s v="Московская область"/>
    <n v="193046.7"/>
    <s v="2023-04"/>
    <n v="799"/>
  </r>
  <r>
    <n v="929"/>
    <d v="2023-04-12T00:00:00"/>
    <s v="Продукты"/>
    <s v="Хлеб"/>
    <n v="96306.18"/>
    <n v="6"/>
    <s v="Екатеринбург"/>
    <n v="577837.08"/>
    <s v="2023-04"/>
    <n v="335"/>
  </r>
  <r>
    <n v="99"/>
    <d v="2023-04-13T00:00:00"/>
    <s v="Товары для дома"/>
    <s v="Подушка"/>
    <n v="93165.82"/>
    <n v="4"/>
    <s v="Московская область"/>
    <n v="372663.28"/>
    <s v="2023-04"/>
    <n v="555"/>
  </r>
  <r>
    <n v="298"/>
    <d v="2023-04-13T00:00:00"/>
    <s v="Одежда"/>
    <s v="Куртка"/>
    <n v="123862.52"/>
    <n v="2"/>
    <s v="Казань"/>
    <n v="247725.04"/>
    <s v="2023-04"/>
    <n v="707"/>
  </r>
  <r>
    <n v="834"/>
    <d v="2023-04-13T00:00:00"/>
    <s v="Товары для дома"/>
    <s v="Полотенце"/>
    <n v="111416.45"/>
    <n v="10"/>
    <s v="Москва"/>
    <n v="1114164.5"/>
    <s v="2023-04"/>
    <n v="61"/>
  </r>
  <r>
    <n v="903"/>
    <d v="2023-04-13T00:00:00"/>
    <s v="Продукты"/>
    <s v="Хлеб"/>
    <n v="29884.66"/>
    <n v="3"/>
    <s v="Московская область"/>
    <n v="89653.98"/>
    <s v="2023-04"/>
    <n v="994"/>
  </r>
  <r>
    <n v="599"/>
    <d v="2023-04-14T00:00:00"/>
    <s v="Товары для дома"/>
    <s v="Кружка"/>
    <n v="50325.25"/>
    <n v="1"/>
    <s v="Екатеринбург"/>
    <n v="50325.25"/>
    <s v="2023-04"/>
    <n v="1086"/>
  </r>
  <r>
    <n v="755"/>
    <d v="2023-04-14T00:00:00"/>
    <s v="Продукты"/>
    <s v="Шоколад"/>
    <n v="115725.3"/>
    <n v="6"/>
    <s v="Новосибирск"/>
    <n v="694351.8"/>
    <s v="2023-04"/>
    <n v="265"/>
  </r>
  <r>
    <n v="7"/>
    <d v="2023-04-15T00:00:00"/>
    <s v="Продукты"/>
    <s v="Молоко"/>
    <n v="142462.51"/>
    <n v="5"/>
    <s v="Екатеринбург"/>
    <n v="712312.55"/>
    <s v="2023-04"/>
    <n v="255"/>
  </r>
  <r>
    <n v="156"/>
    <d v="2023-04-15T00:00:00"/>
    <s v="Одежда"/>
    <s v="Джинсы"/>
    <n v="146218.26"/>
    <n v="3"/>
    <s v="Новосибирск"/>
    <n v="438654.78"/>
    <s v="2023-04"/>
    <n v="470"/>
  </r>
  <r>
    <n v="376"/>
    <d v="2023-04-15T00:00:00"/>
    <s v="Товары для дома"/>
    <s v="Подушка"/>
    <n v="119010.18"/>
    <n v="7"/>
    <s v="Московская область"/>
    <n v="833071.26"/>
    <s v="2023-04"/>
    <n v="177"/>
  </r>
  <r>
    <n v="640"/>
    <d v="2023-04-15T00:00:00"/>
    <s v="Одежда"/>
    <s v="Куртка"/>
    <n v="71036.65"/>
    <n v="5"/>
    <s v="Новосибирск"/>
    <n v="355183.25"/>
    <s v="2023-04"/>
    <n v="581"/>
  </r>
  <r>
    <n v="740"/>
    <d v="2023-04-15T00:00:00"/>
    <s v="Одежда"/>
    <s v="Кроссовки"/>
    <n v="94986.87"/>
    <n v="3"/>
    <s v="Московская область"/>
    <n v="284960.61"/>
    <s v="2023-04"/>
    <n v="648"/>
  </r>
  <r>
    <n v="274"/>
    <d v="2023-04-16T00:00:00"/>
    <s v="Электроника"/>
    <s v="Ноутбук"/>
    <n v="63705.02"/>
    <n v="9"/>
    <s v="Казань"/>
    <n v="573345.18"/>
    <s v="2023-04"/>
    <n v="343"/>
  </r>
  <r>
    <n v="777"/>
    <d v="2023-04-16T00:00:00"/>
    <s v="Товары для дома"/>
    <s v="Плед"/>
    <n v="4671.32"/>
    <n v="9"/>
    <s v="Санкт‑Петербург"/>
    <n v="42041.88"/>
    <s v="2023-04"/>
    <n v="1102"/>
  </r>
  <r>
    <n v="825"/>
    <d v="2023-04-16T00:00:00"/>
    <s v="Продукты"/>
    <s v="Молоко"/>
    <n v="61203.55"/>
    <n v="1"/>
    <s v="Екатеринбург"/>
    <n v="61203.55"/>
    <s v="2023-04"/>
    <n v="1057"/>
  </r>
  <r>
    <n v="1101"/>
    <d v="2023-04-16T00:00:00"/>
    <s v="Товары для дома"/>
    <s v="Кружка"/>
    <n v="44175.12"/>
    <n v="6"/>
    <s v="Санкт‑Петербург"/>
    <n v="265050.72"/>
    <s v="2023-04"/>
    <n v="677"/>
  </r>
  <r>
    <n v="24"/>
    <d v="2023-04-17T00:00:00"/>
    <s v="Товары для дома"/>
    <s v="Плед"/>
    <n v="99003.42"/>
    <n v="3"/>
    <s v="Москва"/>
    <n v="297010.26"/>
    <s v="2023-04"/>
    <n v="637"/>
  </r>
  <r>
    <n v="211"/>
    <d v="2023-04-18T00:00:00"/>
    <s v="Одежда"/>
    <s v="Футболка"/>
    <n v="107572.96"/>
    <n v="3"/>
    <s v="Новосибирск"/>
    <n v="322718.88"/>
    <s v="2023-04"/>
    <n v="612"/>
  </r>
  <r>
    <n v="556"/>
    <d v="2023-04-18T00:00:00"/>
    <s v="Продукты"/>
    <s v="Шоколад"/>
    <n v="92623.07"/>
    <n v="4"/>
    <s v="Екатеринбург"/>
    <n v="370492.28"/>
    <s v="2023-04"/>
    <n v="558"/>
  </r>
  <r>
    <n v="437"/>
    <d v="2023-04-19T00:00:00"/>
    <s v="Одежда"/>
    <s v="Джинсы"/>
    <n v="102803.17"/>
    <n v="2"/>
    <s v="Екатеринбург"/>
    <n v="205606.34"/>
    <s v="2023-04"/>
    <n v="781"/>
  </r>
  <r>
    <n v="591"/>
    <d v="2023-04-19T00:00:00"/>
    <s v="Товары для дома"/>
    <s v="Подушка"/>
    <n v="16863.16"/>
    <n v="2"/>
    <s v="Санкт‑Петербург"/>
    <n v="33726.32"/>
    <s v="2023-04"/>
    <n v="1118"/>
  </r>
  <r>
    <n v="686"/>
    <d v="2023-04-19T00:00:00"/>
    <s v="Продукты"/>
    <s v="Кофе"/>
    <n v="12698.49"/>
    <n v="7"/>
    <s v="Екатеринбург"/>
    <n v="88889.43"/>
    <s v="2023-04"/>
    <n v="996"/>
  </r>
  <r>
    <n v="853"/>
    <d v="2023-04-19T00:00:00"/>
    <s v="Одежда"/>
    <s v="Кроссовки"/>
    <n v="112671.48"/>
    <n v="2"/>
    <s v="Санкт‑Петербург"/>
    <n v="225342.96"/>
    <s v="2023-04"/>
    <n v="742"/>
  </r>
  <r>
    <n v="1200"/>
    <d v="2023-04-19T00:00:00"/>
    <s v="Продукты"/>
    <s v="Молоко"/>
    <n v="10379.79"/>
    <n v="7"/>
    <s v="Московская область"/>
    <n v="72658.53"/>
    <s v="2023-04"/>
    <n v="1034"/>
  </r>
  <r>
    <n v="710"/>
    <d v="2023-04-20T00:00:00"/>
    <s v="Продукты"/>
    <s v="Шоколад"/>
    <n v="32598.83"/>
    <n v="6"/>
    <s v="Московская область"/>
    <n v="195592.98"/>
    <s v="2023-04"/>
    <n v="794"/>
  </r>
  <r>
    <n v="830"/>
    <d v="2023-04-20T00:00:00"/>
    <s v="Товары для дома"/>
    <s v="Полотенце"/>
    <n v="96977.37"/>
    <n v="3"/>
    <s v="Екатеринбург"/>
    <n v="290932.11"/>
    <s v="2023-04"/>
    <n v="642"/>
  </r>
  <r>
    <n v="933"/>
    <d v="2023-04-20T00:00:00"/>
    <s v="Товары для дома"/>
    <s v="Плед"/>
    <n v="106968.07"/>
    <n v="10"/>
    <s v="Новосибирск"/>
    <n v="1069680.7"/>
    <s v="2023-04"/>
    <n v="70"/>
  </r>
  <r>
    <n v="940"/>
    <d v="2023-04-20T00:00:00"/>
    <s v="Одежда"/>
    <s v="Футболка"/>
    <n v="136766.5"/>
    <n v="7"/>
    <s v="Москва"/>
    <n v="957365.5"/>
    <s v="2023-04"/>
    <n v="106"/>
  </r>
  <r>
    <n v="1137"/>
    <d v="2023-04-20T00:00:00"/>
    <s v="Продукты"/>
    <s v="Молоко"/>
    <n v="964.07"/>
    <n v="5"/>
    <s v="Казань"/>
    <n v="4820.35"/>
    <s v="2023-04"/>
    <n v="1191"/>
  </r>
  <r>
    <n v="573"/>
    <d v="2023-04-21T00:00:00"/>
    <s v="Продукты"/>
    <s v="Хлеб"/>
    <n v="111518.81"/>
    <n v="8"/>
    <s v="Москва"/>
    <n v="892150.48"/>
    <s v="2023-04"/>
    <n v="138"/>
  </r>
  <r>
    <n v="237"/>
    <d v="2023-04-22T00:00:00"/>
    <s v="Товары для дома"/>
    <s v="Подушка"/>
    <n v="102343.83"/>
    <n v="9"/>
    <s v="Московская область"/>
    <n v="921094.47"/>
    <s v="2023-04"/>
    <n v="123"/>
  </r>
  <r>
    <n v="595"/>
    <d v="2023-04-22T00:00:00"/>
    <s v="Одежда"/>
    <s v="Джинсы"/>
    <n v="25109.53"/>
    <n v="6"/>
    <s v="Казань"/>
    <n v="150657.18"/>
    <s v="2023-04"/>
    <n v="851"/>
  </r>
  <r>
    <n v="654"/>
    <d v="2023-04-22T00:00:00"/>
    <s v="Электроника"/>
    <s v="Ноутбук"/>
    <n v="92669.54"/>
    <n v="3"/>
    <s v="Санкт‑Петербург"/>
    <n v="278008.62"/>
    <s v="2023-04"/>
    <n v="659"/>
  </r>
  <r>
    <n v="792"/>
    <d v="2023-04-22T00:00:00"/>
    <s v="Товары для дома"/>
    <s v="Полотенце"/>
    <n v="43548.97"/>
    <n v="8"/>
    <s v="Санкт‑Петербург"/>
    <n v="348391.76"/>
    <s v="2023-04"/>
    <n v="590"/>
  </r>
  <r>
    <n v="893"/>
    <d v="2023-04-22T00:00:00"/>
    <s v="Товары для дома"/>
    <s v="Плед"/>
    <n v="26975.5"/>
    <n v="7"/>
    <s v="Московская область"/>
    <n v="188828.5"/>
    <s v="2023-04"/>
    <n v="805"/>
  </r>
  <r>
    <n v="464"/>
    <d v="2023-04-23T00:00:00"/>
    <s v="Товары для дома"/>
    <s v="Плед"/>
    <n v="5804.12"/>
    <n v="5"/>
    <s v="Санкт‑Петербург"/>
    <n v="29020.6"/>
    <s v="2023-04"/>
    <n v="1130"/>
  </r>
  <r>
    <n v="467"/>
    <d v="2023-04-23T00:00:00"/>
    <s v="Товары для дома"/>
    <s v="Подушка"/>
    <n v="136901.99"/>
    <n v="7"/>
    <s v="Санкт‑Петербург"/>
    <n v="958313.93"/>
    <s v="2023-04"/>
    <n v="105"/>
  </r>
  <r>
    <n v="802"/>
    <d v="2023-04-23T00:00:00"/>
    <s v="Продукты"/>
    <s v="Кофе"/>
    <n v="146392.13"/>
    <n v="3"/>
    <s v="Екатеринбург"/>
    <n v="439176.39"/>
    <s v="2023-04"/>
    <n v="468"/>
  </r>
  <r>
    <n v="814"/>
    <d v="2023-04-23T00:00:00"/>
    <s v="Электроника"/>
    <s v="Смартфон"/>
    <n v="33932.13"/>
    <n v="4"/>
    <s v="Казань"/>
    <n v="135728.52"/>
    <s v="2023-04"/>
    <n v="891"/>
  </r>
  <r>
    <n v="993"/>
    <d v="2023-04-23T00:00:00"/>
    <s v="Продукты"/>
    <s v="Кофе"/>
    <n v="112444.04"/>
    <n v="10"/>
    <s v="Москва"/>
    <n v="1124440.4"/>
    <s v="2023-04"/>
    <n v="58"/>
  </r>
  <r>
    <n v="86"/>
    <d v="2023-04-24T00:00:00"/>
    <s v="Товары для дома"/>
    <s v="Кружка"/>
    <n v="110323.69"/>
    <n v="2"/>
    <s v="Казань"/>
    <n v="220647.38"/>
    <s v="2023-04"/>
    <n v="754"/>
  </r>
  <r>
    <n v="140"/>
    <d v="2023-04-24T00:00:00"/>
    <s v="Одежда"/>
    <s v="Футболка"/>
    <n v="23165.36"/>
    <n v="6"/>
    <s v="Санкт‑Петербург"/>
    <n v="138992.16"/>
    <s v="2023-04"/>
    <n v="880"/>
  </r>
  <r>
    <n v="250"/>
    <d v="2023-04-24T00:00:00"/>
    <s v="Электроника"/>
    <s v="Ноутбук"/>
    <n v="131405.55"/>
    <n v="4"/>
    <s v="Екатеринбург"/>
    <n v="525622.2"/>
    <s v="2023-04"/>
    <n v="390"/>
  </r>
  <r>
    <n v="295"/>
    <d v="2023-04-24T00:00:00"/>
    <s v="Электроника"/>
    <s v="Смартфон"/>
    <n v="54742.46"/>
    <n v="6"/>
    <s v="Казань"/>
    <n v="328454.76"/>
    <s v="2023-04"/>
    <n v="603"/>
  </r>
  <r>
    <n v="919"/>
    <d v="2023-04-24T00:00:00"/>
    <s v="Товары для дома"/>
    <s v="Полотенце"/>
    <n v="16927.41"/>
    <n v="7"/>
    <s v="Казань"/>
    <n v="118491.87"/>
    <s v="2023-04"/>
    <n v="931"/>
  </r>
  <r>
    <n v="1032"/>
    <d v="2023-04-24T00:00:00"/>
    <s v="Одежда"/>
    <s v="Футболка"/>
    <n v="79117.42"/>
    <n v="10"/>
    <s v="Казань"/>
    <n v="791174.2"/>
    <s v="2023-04"/>
    <n v="201"/>
  </r>
  <r>
    <n v="1196"/>
    <d v="2023-04-25T00:00:00"/>
    <s v="Электроника"/>
    <s v="Смартфон"/>
    <n v="103272.35"/>
    <n v="9"/>
    <s v="Екатеринбург"/>
    <n v="929451.15"/>
    <s v="2023-04"/>
    <n v="118"/>
  </r>
  <r>
    <n v="197"/>
    <d v="2023-04-26T00:00:00"/>
    <s v="Одежда"/>
    <s v="Футболка"/>
    <n v="133326.4"/>
    <n v="8"/>
    <s v="Казань"/>
    <n v="1066611.2"/>
    <s v="2023-04"/>
    <n v="71"/>
  </r>
  <r>
    <n v="775"/>
    <d v="2023-04-26T00:00:00"/>
    <s v="Электроника"/>
    <s v="Планшет"/>
    <n v="41325.22"/>
    <n v="9"/>
    <s v="Санкт‑Петербург"/>
    <n v="371926.98"/>
    <s v="2023-04"/>
    <n v="557"/>
  </r>
  <r>
    <n v="118"/>
    <d v="2023-04-27T00:00:00"/>
    <s v="Товары для дома"/>
    <s v="Подушка"/>
    <n v="104747.39"/>
    <n v="9"/>
    <s v="Казань"/>
    <n v="942726.51"/>
    <s v="2023-04"/>
    <n v="114"/>
  </r>
  <r>
    <n v="268"/>
    <d v="2023-04-27T00:00:00"/>
    <s v="Одежда"/>
    <s v="Куртка"/>
    <n v="94729.25"/>
    <n v="3"/>
    <s v="Казань"/>
    <n v="284187.75"/>
    <s v="2023-04"/>
    <n v="651"/>
  </r>
  <r>
    <n v="622"/>
    <d v="2023-04-27T00:00:00"/>
    <s v="Одежда"/>
    <s v="Кроссовки"/>
    <n v="18956.52"/>
    <n v="5"/>
    <s v="Новосибирск"/>
    <n v="94782.6"/>
    <s v="2023-04"/>
    <n v="980"/>
  </r>
  <r>
    <n v="864"/>
    <d v="2023-04-27T00:00:00"/>
    <s v="Одежда"/>
    <s v="Джинсы"/>
    <n v="137779.99"/>
    <n v="8"/>
    <s v="Санкт‑Петербург"/>
    <n v="1102239.92"/>
    <s v="2023-04"/>
    <n v="64"/>
  </r>
  <r>
    <n v="915"/>
    <d v="2023-04-27T00:00:00"/>
    <s v="Одежда"/>
    <s v="Кроссовки"/>
    <n v="145839.23"/>
    <n v="10"/>
    <s v="Санкт‑Петербург"/>
    <n v="1458392.3"/>
    <s v="2023-04"/>
    <n v="2"/>
  </r>
  <r>
    <n v="1084"/>
    <d v="2023-04-27T00:00:00"/>
    <s v="Продукты"/>
    <s v="Кофе"/>
    <n v="145457.29"/>
    <n v="4"/>
    <s v="Москва"/>
    <n v="581829.16"/>
    <s v="2023-04"/>
    <n v="333"/>
  </r>
  <r>
    <n v="485"/>
    <d v="2023-04-28T00:00:00"/>
    <s v="Продукты"/>
    <s v="Кофе"/>
    <n v="147634.4"/>
    <n v="1"/>
    <s v="Казань"/>
    <n v="147634.4"/>
    <s v="2023-04"/>
    <n v="857"/>
  </r>
  <r>
    <n v="230"/>
    <d v="2023-04-29T00:00:00"/>
    <s v="Товары для дома"/>
    <s v="Кружка"/>
    <n v="92383.34"/>
    <n v="10"/>
    <s v="Москва"/>
    <n v="923833.4"/>
    <s v="2023-04"/>
    <n v="119"/>
  </r>
  <r>
    <n v="365"/>
    <d v="2023-04-29T00:00:00"/>
    <s v="Товары для дома"/>
    <s v="Подушка"/>
    <n v="117771.4"/>
    <n v="7"/>
    <s v="Новосибирск"/>
    <n v="824399.8"/>
    <s v="2023-04"/>
    <n v="180"/>
  </r>
  <r>
    <n v="1128"/>
    <d v="2023-04-29T00:00:00"/>
    <s v="Электроника"/>
    <s v="Ноутбук"/>
    <n v="66653.82"/>
    <n v="6"/>
    <s v="Санкт‑Петербург"/>
    <n v="399922.92"/>
    <s v="2023-04"/>
    <n v="516"/>
  </r>
  <r>
    <n v="68"/>
    <d v="2023-04-30T00:00:00"/>
    <s v="Одежда"/>
    <s v="Футболка"/>
    <n v="98337.45"/>
    <n v="4"/>
    <s v="Казань"/>
    <n v="393349.8"/>
    <s v="2023-04"/>
    <n v="531"/>
  </r>
  <r>
    <n v="113"/>
    <d v="2023-04-30T00:00:00"/>
    <s v="Электроника"/>
    <s v="Планшет"/>
    <n v="25557.25"/>
    <n v="2"/>
    <s v="Екатеринбург"/>
    <n v="51114.5"/>
    <s v="2023-04"/>
    <n v="1083"/>
  </r>
  <r>
    <n v="436"/>
    <d v="2023-04-30T00:00:00"/>
    <s v="Одежда"/>
    <s v="Куртка"/>
    <n v="14717.73"/>
    <n v="1"/>
    <s v="Санкт‑Петербург"/>
    <n v="14717.73"/>
    <s v="2023-04"/>
    <n v="1169"/>
  </r>
  <r>
    <n v="931"/>
    <d v="2023-04-30T00:00:00"/>
    <s v="Одежда"/>
    <s v="Футболка"/>
    <n v="59047.12"/>
    <n v="7"/>
    <s v="Москва"/>
    <n v="413329.84"/>
    <s v="2023-04"/>
    <n v="502"/>
  </r>
  <r>
    <n v="1087"/>
    <d v="2023-04-30T00:00:00"/>
    <s v="Товары для дома"/>
    <s v="Полотенце"/>
    <n v="45886.08"/>
    <n v="1"/>
    <s v="Московская область"/>
    <n v="45886.08"/>
    <s v="2023-04"/>
    <n v="1094"/>
  </r>
  <r>
    <n v="103"/>
    <d v="2023-05-01T00:00:00"/>
    <s v="Одежда"/>
    <s v="Футболка"/>
    <n v="17214.09"/>
    <n v="3"/>
    <s v="Санкт‑Петербург"/>
    <n v="51642.27"/>
    <s v="2023-05"/>
    <n v="1080"/>
  </r>
  <r>
    <n v="173"/>
    <d v="2023-05-01T00:00:00"/>
    <s v="Продукты"/>
    <s v="Шоколад"/>
    <n v="35797.62"/>
    <n v="3"/>
    <s v="Казань"/>
    <n v="107392.86"/>
    <s v="2023-05"/>
    <n v="955"/>
  </r>
  <r>
    <n v="343"/>
    <d v="2023-05-01T00:00:00"/>
    <s v="Одежда"/>
    <s v="Куртка"/>
    <n v="116795.68"/>
    <n v="10"/>
    <s v="Новосибирск"/>
    <n v="1167956.8"/>
    <s v="2023-05"/>
    <n v="39"/>
  </r>
  <r>
    <n v="395"/>
    <d v="2023-05-01T00:00:00"/>
    <s v="Одежда"/>
    <s v="Джинсы"/>
    <n v="112418.4"/>
    <n v="4"/>
    <s v="Новосибирск"/>
    <n v="449673.6"/>
    <s v="2023-05"/>
    <n v="452"/>
  </r>
  <r>
    <n v="1113"/>
    <d v="2023-05-01T00:00:00"/>
    <s v="Одежда"/>
    <s v="Футболка"/>
    <n v="9579.31"/>
    <n v="7"/>
    <s v="Московская область"/>
    <n v="67055.17"/>
    <s v="2023-05"/>
    <n v="1041"/>
  </r>
  <r>
    <n v="804"/>
    <d v="2023-05-02T00:00:00"/>
    <s v="Товары для дома"/>
    <s v="Подушка"/>
    <n v="73427.86"/>
    <n v="7"/>
    <s v="Санкт‑Петербург"/>
    <n v="513995.02"/>
    <s v="2023-05"/>
    <n v="397"/>
  </r>
  <r>
    <n v="94"/>
    <d v="2023-05-03T00:00:00"/>
    <s v="Продукты"/>
    <s v="Кофе"/>
    <n v="84724.96"/>
    <n v="10"/>
    <s v="Московская область"/>
    <n v="847249.6"/>
    <s v="2023-05"/>
    <n v="168"/>
  </r>
  <r>
    <n v="167"/>
    <d v="2023-05-03T00:00:00"/>
    <s v="Электроника"/>
    <s v="Смартфон"/>
    <n v="59892.66"/>
    <n v="5"/>
    <s v="Московская область"/>
    <n v="299463.3"/>
    <s v="2023-05"/>
    <n v="633"/>
  </r>
  <r>
    <n v="261"/>
    <d v="2023-05-03T00:00:00"/>
    <s v="Продукты"/>
    <s v="Хлеб"/>
    <n v="98146.71"/>
    <n v="6"/>
    <s v="Екатеринбург"/>
    <n v="588880.26"/>
    <s v="2023-05"/>
    <n v="328"/>
  </r>
  <r>
    <n v="371"/>
    <d v="2023-05-03T00:00:00"/>
    <s v="Продукты"/>
    <s v="Хлеб"/>
    <n v="102515.29"/>
    <n v="7"/>
    <s v="Санкт‑Петербург"/>
    <n v="717607.03"/>
    <s v="2023-05"/>
    <n v="253"/>
  </r>
  <r>
    <n v="448"/>
    <d v="2023-05-03T00:00:00"/>
    <s v="Товары для дома"/>
    <s v="Плед"/>
    <n v="99184.1"/>
    <n v="4"/>
    <s v="Санкт‑Петербург"/>
    <n v="396736.4"/>
    <s v="2023-05"/>
    <n v="523"/>
  </r>
  <r>
    <n v="605"/>
    <d v="2023-05-03T00:00:00"/>
    <s v="Продукты"/>
    <s v="Хлеб"/>
    <n v="83703.24"/>
    <n v="2"/>
    <s v="Московская область"/>
    <n v="167406.48"/>
    <s v="2023-05"/>
    <n v="828"/>
  </r>
  <r>
    <n v="998"/>
    <d v="2023-05-03T00:00:00"/>
    <s v="Электроника"/>
    <s v="Наушники"/>
    <n v="24254.68"/>
    <n v="6"/>
    <s v="Екатеринбург"/>
    <n v="145528.08"/>
    <s v="2023-05"/>
    <n v="864"/>
  </r>
  <r>
    <n v="1135"/>
    <d v="2023-05-03T00:00:00"/>
    <s v="Продукты"/>
    <s v="Хлеб"/>
    <n v="75969.54"/>
    <n v="9"/>
    <s v="Екатеринбург"/>
    <n v="683725.86"/>
    <s v="2023-05"/>
    <n v="276"/>
  </r>
  <r>
    <n v="1199"/>
    <d v="2023-05-03T00:00:00"/>
    <s v="Электроника"/>
    <s v="Смартфон"/>
    <n v="140488.31"/>
    <n v="3"/>
    <s v="Московская область"/>
    <n v="421464.93"/>
    <s v="2023-05"/>
    <n v="494"/>
  </r>
  <r>
    <n v="583"/>
    <d v="2023-05-05T00:00:00"/>
    <s v="Одежда"/>
    <s v="Джинсы"/>
    <n v="6305.58"/>
    <n v="2"/>
    <s v="Казань"/>
    <n v="12611.16"/>
    <s v="2023-05"/>
    <n v="1175"/>
  </r>
  <r>
    <n v="614"/>
    <d v="2023-05-05T00:00:00"/>
    <s v="Товары для дома"/>
    <s v="Плед"/>
    <n v="143985.76"/>
    <n v="8"/>
    <s v="Новосибирск"/>
    <n v="1151886.08"/>
    <s v="2023-05"/>
    <n v="45"/>
  </r>
  <r>
    <n v="625"/>
    <d v="2023-05-05T00:00:00"/>
    <s v="Товары для дома"/>
    <s v="Плед"/>
    <n v="23928.62"/>
    <n v="3"/>
    <s v="Новосибирск"/>
    <n v="71785.86"/>
    <s v="2023-05"/>
    <n v="1035"/>
  </r>
  <r>
    <n v="1167"/>
    <d v="2023-05-05T00:00:00"/>
    <s v="Одежда"/>
    <s v="Кроссовки"/>
    <n v="8009.11"/>
    <n v="8"/>
    <s v="Санкт‑Петербург"/>
    <n v="64072.88"/>
    <s v="2023-05"/>
    <n v="1047"/>
  </r>
  <r>
    <n v="413"/>
    <d v="2023-05-06T00:00:00"/>
    <s v="Продукты"/>
    <s v="Хлеб"/>
    <n v="44899.42"/>
    <n v="3"/>
    <s v="Новосибирск"/>
    <n v="134698.26"/>
    <s v="2023-05"/>
    <n v="893"/>
  </r>
  <r>
    <n v="889"/>
    <d v="2023-05-06T00:00:00"/>
    <s v="Продукты"/>
    <s v="Шоколад"/>
    <n v="72203.3"/>
    <n v="7"/>
    <s v="Новосибирск"/>
    <n v="505423.1"/>
    <s v="2023-05"/>
    <n v="404"/>
  </r>
  <r>
    <n v="1045"/>
    <d v="2023-05-06T00:00:00"/>
    <s v="Товары для дома"/>
    <s v="Полотенце"/>
    <n v="131415.91"/>
    <n v="7"/>
    <s v="Новосибирск"/>
    <n v="919911.37"/>
    <s v="2023-05"/>
    <n v="125"/>
  </r>
  <r>
    <n v="384"/>
    <d v="2023-05-07T00:00:00"/>
    <s v="Электроника"/>
    <s v="Наушники"/>
    <n v="40031.68"/>
    <n v="4"/>
    <s v="Новосибирск"/>
    <n v="160126.72"/>
    <s v="2023-05"/>
    <n v="838"/>
  </r>
  <r>
    <n v="1028"/>
    <d v="2023-05-07T00:00:00"/>
    <s v="Товары для дома"/>
    <s v="Подушка"/>
    <n v="106983.17"/>
    <n v="3"/>
    <s v="Московская область"/>
    <n v="320949.51"/>
    <s v="2023-05"/>
    <n v="613"/>
  </r>
  <r>
    <n v="320"/>
    <d v="2023-05-08T00:00:00"/>
    <s v="Электроника"/>
    <s v="Наушники"/>
    <n v="142878.58"/>
    <n v="8"/>
    <s v="Московская область"/>
    <n v="1143028.64"/>
    <s v="2023-05"/>
    <n v="48"/>
  </r>
  <r>
    <n v="109"/>
    <d v="2023-05-09T00:00:00"/>
    <s v="Товары для дома"/>
    <s v="Подушка"/>
    <n v="42367.31"/>
    <n v="6"/>
    <s v="Казань"/>
    <n v="254203.86"/>
    <s v="2023-05"/>
    <n v="696"/>
  </r>
  <r>
    <n v="859"/>
    <d v="2023-05-09T00:00:00"/>
    <s v="Товары для дома"/>
    <s v="Подушка"/>
    <n v="84721.33"/>
    <n v="2"/>
    <s v="Новосибирск"/>
    <n v="169442.66"/>
    <s v="2023-05"/>
    <n v="823"/>
  </r>
  <r>
    <n v="246"/>
    <d v="2023-05-10T00:00:00"/>
    <s v="Электроника"/>
    <s v="Планшет"/>
    <n v="113079.48"/>
    <n v="2"/>
    <s v="Екатеринбург"/>
    <n v="226158.96"/>
    <s v="2023-05"/>
    <n v="741"/>
  </r>
  <r>
    <n v="558"/>
    <d v="2023-05-10T00:00:00"/>
    <s v="Электроника"/>
    <s v="Ноутбук"/>
    <n v="102466.18"/>
    <n v="9"/>
    <s v="Москва"/>
    <n v="922195.62"/>
    <s v="2023-05"/>
    <n v="121"/>
  </r>
  <r>
    <n v="824"/>
    <d v="2023-05-10T00:00:00"/>
    <s v="Одежда"/>
    <s v="Куртка"/>
    <n v="66198.49"/>
    <n v="10"/>
    <s v="Екатеринбург"/>
    <n v="661984.9"/>
    <s v="2023-05"/>
    <n v="292"/>
  </r>
  <r>
    <n v="1009"/>
    <d v="2023-05-10T00:00:00"/>
    <s v="Электроника"/>
    <s v="Наушники"/>
    <n v="69792.22"/>
    <n v="2"/>
    <s v="Новосибирск"/>
    <n v="139584.44"/>
    <s v="2023-05"/>
    <n v="878"/>
  </r>
  <r>
    <n v="1181"/>
    <d v="2023-05-10T00:00:00"/>
    <s v="Товары для дома"/>
    <s v="Кружка"/>
    <n v="75640.86"/>
    <n v="1"/>
    <s v="Московская область"/>
    <n v="75640.86"/>
    <s v="2023-05"/>
    <n v="1027"/>
  </r>
  <r>
    <n v="257"/>
    <d v="2023-05-11T00:00:00"/>
    <s v="Электроника"/>
    <s v="Смартфон"/>
    <n v="128885.36"/>
    <n v="6"/>
    <s v="Москва"/>
    <n v="773312.16"/>
    <s v="2023-05"/>
    <n v="211"/>
  </r>
  <r>
    <n v="799"/>
    <d v="2023-05-11T00:00:00"/>
    <s v="Одежда"/>
    <s v="Куртка"/>
    <n v="15488.38"/>
    <n v="5"/>
    <s v="Казань"/>
    <n v="77441.9"/>
    <s v="2023-05"/>
    <n v="1023"/>
  </r>
  <r>
    <n v="289"/>
    <d v="2023-05-12T00:00:00"/>
    <s v="Одежда"/>
    <s v="Кроссовки"/>
    <n v="44500.01"/>
    <n v="5"/>
    <s v="Санкт‑Петербург"/>
    <n v="222500.05"/>
    <s v="2023-05"/>
    <n v="749"/>
  </r>
  <r>
    <n v="389"/>
    <d v="2023-05-12T00:00:00"/>
    <s v="Продукты"/>
    <s v="Кофе"/>
    <n v="86314.54"/>
    <n v="6"/>
    <s v="Москва"/>
    <n v="517887.24"/>
    <s v="2023-05"/>
    <n v="393"/>
  </r>
  <r>
    <n v="778"/>
    <d v="2023-05-12T00:00:00"/>
    <s v="Товары для дома"/>
    <s v="Полотенце"/>
    <n v="47843.62"/>
    <n v="2"/>
    <s v="Москва"/>
    <n v="95687.24"/>
    <s v="2023-05"/>
    <n v="979"/>
  </r>
  <r>
    <n v="1146"/>
    <d v="2023-05-12T00:00:00"/>
    <s v="Продукты"/>
    <s v="Молоко"/>
    <n v="127496.94"/>
    <n v="2"/>
    <s v="Екатеринбург"/>
    <n v="254993.88"/>
    <s v="2023-05"/>
    <n v="695"/>
  </r>
  <r>
    <n v="5"/>
    <d v="2023-05-13T00:00:00"/>
    <s v="Одежда"/>
    <s v="Джинсы"/>
    <n v="73550.58"/>
    <n v="1"/>
    <s v="Новосибирск"/>
    <n v="73550.58"/>
    <s v="2023-05"/>
    <n v="1031"/>
  </r>
  <r>
    <n v="1079"/>
    <d v="2023-05-13T00:00:00"/>
    <s v="Одежда"/>
    <s v="Кроссовки"/>
    <n v="91482.03"/>
    <n v="4"/>
    <s v="Московская область"/>
    <n v="365928.12"/>
    <s v="2023-05"/>
    <n v="564"/>
  </r>
  <r>
    <n v="1174"/>
    <d v="2023-05-13T00:00:00"/>
    <s v="Товары для дома"/>
    <s v="Подушка"/>
    <n v="21831.92"/>
    <n v="4"/>
    <s v="Москва"/>
    <n v="87327.68"/>
    <s v="2023-05"/>
    <n v="1000"/>
  </r>
  <r>
    <n v="8"/>
    <d v="2023-05-14T00:00:00"/>
    <s v="Одежда"/>
    <s v="Футболка"/>
    <n v="117854.12"/>
    <n v="8"/>
    <s v="Казань"/>
    <n v="942832.96"/>
    <s v="2023-05"/>
    <n v="113"/>
  </r>
  <r>
    <n v="119"/>
    <d v="2023-05-14T00:00:00"/>
    <s v="Одежда"/>
    <s v="Кроссовки"/>
    <n v="124742.66"/>
    <n v="8"/>
    <s v="Екатеринбург"/>
    <n v="997941.28"/>
    <s v="2023-05"/>
    <n v="91"/>
  </r>
  <r>
    <n v="748"/>
    <d v="2023-05-14T00:00:00"/>
    <s v="Продукты"/>
    <s v="Шоколад"/>
    <n v="36224.47"/>
    <n v="5"/>
    <s v="Новосибирск"/>
    <n v="181122.35"/>
    <s v="2023-05"/>
    <n v="812"/>
  </r>
  <r>
    <n v="1148"/>
    <d v="2023-05-14T00:00:00"/>
    <s v="Товары для дома"/>
    <s v="Подушка"/>
    <n v="70993.89"/>
    <n v="3"/>
    <s v="Москва"/>
    <n v="212981.67"/>
    <s v="2023-05"/>
    <n v="771"/>
  </r>
  <r>
    <n v="217"/>
    <d v="2023-05-15T00:00:00"/>
    <s v="Товары для дома"/>
    <s v="Полотенце"/>
    <n v="130024.14"/>
    <n v="1"/>
    <s v="Санкт‑Петербург"/>
    <n v="130024.14"/>
    <s v="2023-05"/>
    <n v="903"/>
  </r>
  <r>
    <n v="319"/>
    <d v="2023-05-15T00:00:00"/>
    <s v="Товары для дома"/>
    <s v="Подушка"/>
    <n v="130964.07"/>
    <n v="7"/>
    <s v="Москва"/>
    <n v="916748.49"/>
    <s v="2023-05"/>
    <n v="127"/>
  </r>
  <r>
    <n v="131"/>
    <d v="2023-05-16T00:00:00"/>
    <s v="Продукты"/>
    <s v="Шоколад"/>
    <n v="137592.12"/>
    <n v="2"/>
    <s v="Московская область"/>
    <n v="275184.24"/>
    <s v="2023-05"/>
    <n v="663"/>
  </r>
  <r>
    <n v="148"/>
    <d v="2023-05-16T00:00:00"/>
    <s v="Товары для дома"/>
    <s v="Подушка"/>
    <n v="131643.23"/>
    <n v="2"/>
    <s v="Санкт‑Петербург"/>
    <n v="263286.46"/>
    <s v="2023-05"/>
    <n v="681"/>
  </r>
  <r>
    <n v="71"/>
    <d v="2023-05-17T00:00:00"/>
    <s v="Товары для дома"/>
    <s v="Подушка"/>
    <n v="54038.5"/>
    <n v="8"/>
    <s v="Санкт‑Петербург"/>
    <n v="432308"/>
    <s v="2023-05"/>
    <n v="478"/>
  </r>
  <r>
    <n v="241"/>
    <d v="2023-05-17T00:00:00"/>
    <s v="Электроника"/>
    <s v="Наушники"/>
    <n v="29511.32"/>
    <n v="10"/>
    <s v="Санкт‑Петербург"/>
    <n v="295113.2"/>
    <s v="2023-05"/>
    <n v="638"/>
  </r>
  <r>
    <n v="914"/>
    <d v="2023-05-17T00:00:00"/>
    <s v="Товары для дома"/>
    <s v="Плед"/>
    <n v="6230.85"/>
    <n v="3"/>
    <s v="Санкт‑Петербург"/>
    <n v="18692.55"/>
    <s v="2023-05"/>
    <n v="1156"/>
  </r>
  <r>
    <n v="997"/>
    <d v="2023-05-17T00:00:00"/>
    <s v="Продукты"/>
    <s v="Молоко"/>
    <n v="96224.17"/>
    <n v="1"/>
    <s v="Екатеринбург"/>
    <n v="96224.17"/>
    <s v="2023-05"/>
    <n v="976"/>
  </r>
  <r>
    <n v="520"/>
    <d v="2023-05-18T00:00:00"/>
    <s v="Продукты"/>
    <s v="Кофе"/>
    <n v="144018.69"/>
    <n v="8"/>
    <s v="Москва"/>
    <n v="1152149.52"/>
    <s v="2023-05"/>
    <n v="44"/>
  </r>
  <r>
    <n v="774"/>
    <d v="2023-05-19T00:00:00"/>
    <s v="Продукты"/>
    <s v="Хлеб"/>
    <n v="132186.31"/>
    <n v="9"/>
    <s v="Москва"/>
    <n v="1189676.79"/>
    <s v="2023-05"/>
    <n v="35"/>
  </r>
  <r>
    <n v="994"/>
    <d v="2023-05-19T00:00:00"/>
    <s v="Продукты"/>
    <s v="Хлеб"/>
    <n v="42782.52"/>
    <n v="6"/>
    <s v="Московская область"/>
    <n v="256695.12"/>
    <s v="2023-05"/>
    <n v="690"/>
  </r>
  <r>
    <n v="1055"/>
    <d v="2023-05-19T00:00:00"/>
    <s v="Товары для дома"/>
    <s v="Кружка"/>
    <n v="58475.6"/>
    <n v="3"/>
    <s v="Новосибирск"/>
    <n v="175426.8"/>
    <s v="2023-05"/>
    <n v="819"/>
  </r>
  <r>
    <n v="324"/>
    <d v="2023-05-20T00:00:00"/>
    <s v="Товары для дома"/>
    <s v="Полотенце"/>
    <n v="17395.19"/>
    <n v="2"/>
    <s v="Санкт‑Петербург"/>
    <n v="34790.38"/>
    <s v="2023-05"/>
    <n v="1113"/>
  </r>
  <r>
    <n v="468"/>
    <d v="2023-05-20T00:00:00"/>
    <s v="Электроника"/>
    <s v="Наушники"/>
    <n v="129782.38"/>
    <n v="6"/>
    <s v="Москва"/>
    <n v="778694.28"/>
    <s v="2023-05"/>
    <n v="206"/>
  </r>
  <r>
    <n v="813"/>
    <d v="2023-05-20T00:00:00"/>
    <s v="Продукты"/>
    <s v="Кофе"/>
    <n v="116193.5"/>
    <n v="2"/>
    <s v="Новосибирск"/>
    <n v="232387"/>
    <s v="2023-05"/>
    <n v="736"/>
  </r>
  <r>
    <n v="741"/>
    <d v="2023-05-21T00:00:00"/>
    <s v="Товары для дома"/>
    <s v="Полотенце"/>
    <n v="36553.05"/>
    <n v="5"/>
    <s v="Казань"/>
    <n v="182765.25"/>
    <s v="2023-05"/>
    <n v="811"/>
  </r>
  <r>
    <n v="975"/>
    <d v="2023-05-21T00:00:00"/>
    <s v="Товары для дома"/>
    <s v="Кружка"/>
    <n v="28226.13"/>
    <n v="1"/>
    <s v="Москва"/>
    <n v="28226.13"/>
    <s v="2023-05"/>
    <n v="1134"/>
  </r>
  <r>
    <n v="1039"/>
    <d v="2023-05-21T00:00:00"/>
    <s v="Одежда"/>
    <s v="Куртка"/>
    <n v="98816.16"/>
    <n v="7"/>
    <s v="Москва"/>
    <n v="691713.12"/>
    <s v="2023-05"/>
    <n v="270"/>
  </r>
  <r>
    <n v="80"/>
    <d v="2023-05-22T00:00:00"/>
    <s v="Товары для дома"/>
    <s v="Полотенце"/>
    <n v="72015.03"/>
    <n v="8"/>
    <s v="Санкт‑Петербург"/>
    <n v="576120.24"/>
    <s v="2023-05"/>
    <n v="337"/>
  </r>
  <r>
    <n v="453"/>
    <d v="2023-05-22T00:00:00"/>
    <s v="Продукты"/>
    <s v="Молоко"/>
    <n v="3679.58"/>
    <n v="7"/>
    <s v="Московская область"/>
    <n v="25757.06"/>
    <s v="2023-05"/>
    <n v="1139"/>
  </r>
  <r>
    <n v="549"/>
    <d v="2023-05-22T00:00:00"/>
    <s v="Продукты"/>
    <s v="Хлеб"/>
    <n v="54192.58"/>
    <n v="9"/>
    <s v="Московская область"/>
    <n v="487733.22"/>
    <s v="2023-05"/>
    <n v="423"/>
  </r>
  <r>
    <n v="646"/>
    <d v="2023-05-22T00:00:00"/>
    <s v="Электроника"/>
    <s v="Ноутбук"/>
    <n v="69877.65"/>
    <n v="6"/>
    <s v="Санкт‑Петербург"/>
    <n v="419265.9"/>
    <s v="2023-05"/>
    <n v="496"/>
  </r>
  <r>
    <n v="923"/>
    <d v="2023-05-22T00:00:00"/>
    <s v="Продукты"/>
    <s v="Кофе"/>
    <n v="65315.54"/>
    <n v="3"/>
    <s v="Казань"/>
    <n v="195946.62"/>
    <s v="2023-05"/>
    <n v="792"/>
  </r>
  <r>
    <n v="952"/>
    <d v="2023-05-22T00:00:00"/>
    <s v="Товары для дома"/>
    <s v="Кружка"/>
    <n v="71874.09"/>
    <n v="10"/>
    <s v="Москва"/>
    <n v="718740.9"/>
    <s v="2023-05"/>
    <n v="252"/>
  </r>
  <r>
    <n v="984"/>
    <d v="2023-05-22T00:00:00"/>
    <s v="Электроника"/>
    <s v="Наушники"/>
    <n v="51950.09"/>
    <n v="2"/>
    <s v="Москва"/>
    <n v="103900.18"/>
    <s v="2023-05"/>
    <n v="963"/>
  </r>
  <r>
    <n v="190"/>
    <d v="2023-05-23T00:00:00"/>
    <s v="Товары для дома"/>
    <s v="Кружка"/>
    <n v="97590.09"/>
    <n v="2"/>
    <s v="Екатеринбург"/>
    <n v="195180.18"/>
    <s v="2023-05"/>
    <n v="796"/>
  </r>
  <r>
    <n v="199"/>
    <d v="2023-05-23T00:00:00"/>
    <s v="Товары для дома"/>
    <s v="Подушка"/>
    <n v="140744.99"/>
    <n v="8"/>
    <s v="Новосибирск"/>
    <n v="1125959.92"/>
    <s v="2023-05"/>
    <n v="57"/>
  </r>
  <r>
    <n v="224"/>
    <d v="2023-05-23T00:00:00"/>
    <s v="Товары для дома"/>
    <s v="Плед"/>
    <n v="41370.15"/>
    <n v="9"/>
    <s v="Новосибирск"/>
    <n v="372331.35"/>
    <s v="2023-05"/>
    <n v="556"/>
  </r>
  <r>
    <n v="530"/>
    <d v="2023-05-23T00:00:00"/>
    <s v="Продукты"/>
    <s v="Кофе"/>
    <n v="37700.51"/>
    <n v="3"/>
    <s v="Новосибирск"/>
    <n v="113101.53"/>
    <s v="2023-05"/>
    <n v="942"/>
  </r>
  <r>
    <n v="559"/>
    <d v="2023-05-23T00:00:00"/>
    <s v="Электроника"/>
    <s v="Планшет"/>
    <n v="7328.64"/>
    <n v="5"/>
    <s v="Московская область"/>
    <n v="36643.2"/>
    <s v="2023-05"/>
    <n v="1110"/>
  </r>
  <r>
    <n v="673"/>
    <d v="2023-05-23T00:00:00"/>
    <s v="Электроника"/>
    <s v="Наушники"/>
    <n v="88238.31"/>
    <n v="2"/>
    <s v="Казань"/>
    <n v="176476.62"/>
    <s v="2023-05"/>
    <n v="816"/>
  </r>
  <r>
    <n v="758"/>
    <d v="2023-05-23T00:00:00"/>
    <s v="Одежда"/>
    <s v="Кроссовки"/>
    <n v="51555.02"/>
    <n v="5"/>
    <s v="Санкт‑Петербург"/>
    <n v="257775.1"/>
    <s v="2023-05"/>
    <n v="688"/>
  </r>
  <r>
    <n v="208"/>
    <d v="2023-05-24T00:00:00"/>
    <s v="Товары для дома"/>
    <s v="Полотенце"/>
    <n v="79778.7"/>
    <n v="3"/>
    <s v="Екатеринбург"/>
    <n v="239336.1"/>
    <s v="2023-05"/>
    <n v="723"/>
  </r>
  <r>
    <n v="223"/>
    <d v="2023-05-24T00:00:00"/>
    <s v="Продукты"/>
    <s v="Кофе"/>
    <n v="29455.82"/>
    <n v="5"/>
    <s v="Казань"/>
    <n v="147279.1"/>
    <s v="2023-05"/>
    <n v="859"/>
  </r>
  <r>
    <n v="412"/>
    <d v="2023-05-24T00:00:00"/>
    <s v="Продукты"/>
    <s v="Шоколад"/>
    <n v="92375.53"/>
    <n v="4"/>
    <s v="Казань"/>
    <n v="369502.12"/>
    <s v="2023-05"/>
    <n v="559"/>
  </r>
  <r>
    <n v="432"/>
    <d v="2023-05-24T00:00:00"/>
    <s v="Продукты"/>
    <s v="Кофе"/>
    <n v="58431.95"/>
    <n v="6"/>
    <s v="Новосибирск"/>
    <n v="350591.7"/>
    <s v="2023-05"/>
    <n v="586"/>
  </r>
  <r>
    <n v="46"/>
    <d v="2023-05-25T00:00:00"/>
    <s v="Электроника"/>
    <s v="Смартфон"/>
    <n v="127773.14"/>
    <n v="6"/>
    <s v="Екатеринбург"/>
    <n v="766638.84"/>
    <s v="2023-05"/>
    <n v="219"/>
  </r>
  <r>
    <n v="235"/>
    <d v="2023-05-25T00:00:00"/>
    <s v="Товары для дома"/>
    <s v="Плед"/>
    <n v="120318.08"/>
    <n v="2"/>
    <s v="Екатеринбург"/>
    <n v="240636.16"/>
    <s v="2023-05"/>
    <n v="722"/>
  </r>
  <r>
    <n v="355"/>
    <d v="2023-05-25T00:00:00"/>
    <s v="Товары для дома"/>
    <s v="Подушка"/>
    <n v="147872.66"/>
    <n v="10"/>
    <s v="Санкт‑Петербург"/>
    <n v="1478726.6"/>
    <s v="2023-05"/>
    <n v="1"/>
  </r>
  <r>
    <n v="166"/>
    <d v="2023-05-26T00:00:00"/>
    <s v="Продукты"/>
    <s v="Шоколад"/>
    <n v="33449.11"/>
    <n v="7"/>
    <s v="Казань"/>
    <n v="234143.77"/>
    <s v="2023-05"/>
    <n v="734"/>
  </r>
  <r>
    <n v="267"/>
    <d v="2023-05-26T00:00:00"/>
    <s v="Продукты"/>
    <s v="Шоколад"/>
    <n v="87802.33"/>
    <n v="5"/>
    <s v="Московская область"/>
    <n v="439011.65"/>
    <s v="2023-05"/>
    <n v="469"/>
  </r>
  <r>
    <n v="547"/>
    <d v="2023-05-26T00:00:00"/>
    <s v="Товары для дома"/>
    <s v="Кружка"/>
    <n v="90629.24"/>
    <n v="8"/>
    <s v="Санкт‑Петербург"/>
    <n v="725033.92"/>
    <s v="2023-05"/>
    <n v="245"/>
  </r>
  <r>
    <n v="789"/>
    <d v="2023-05-26T00:00:00"/>
    <s v="Товары для дома"/>
    <s v="Подушка"/>
    <n v="140555.36"/>
    <n v="9"/>
    <s v="Казань"/>
    <n v="1264998.24"/>
    <s v="2023-05"/>
    <n v="24"/>
  </r>
  <r>
    <n v="1070"/>
    <d v="2023-05-26T00:00:00"/>
    <s v="Электроника"/>
    <s v="Смартфон"/>
    <n v="53939.3"/>
    <n v="4"/>
    <s v="Санкт‑Петербург"/>
    <n v="215757.2"/>
    <s v="2023-05"/>
    <n v="764"/>
  </r>
  <r>
    <n v="1083"/>
    <d v="2023-05-26T00:00:00"/>
    <s v="Электроника"/>
    <s v="Планшет"/>
    <n v="18404.52"/>
    <n v="7"/>
    <s v="Казань"/>
    <n v="128831.64"/>
    <s v="2023-05"/>
    <n v="909"/>
  </r>
  <r>
    <n v="768"/>
    <d v="2023-05-27T00:00:00"/>
    <s v="Электроника"/>
    <s v="Ноутбук"/>
    <n v="62102.4"/>
    <n v="1"/>
    <s v="Москва"/>
    <n v="62102.4"/>
    <s v="2023-05"/>
    <n v="1054"/>
  </r>
  <r>
    <n v="65"/>
    <d v="2023-05-28T00:00:00"/>
    <s v="Одежда"/>
    <s v="Футболка"/>
    <n v="111921.3"/>
    <n v="2"/>
    <s v="Москва"/>
    <n v="223842.6"/>
    <s v="2023-05"/>
    <n v="746"/>
  </r>
  <r>
    <n v="484"/>
    <d v="2023-05-28T00:00:00"/>
    <s v="Одежда"/>
    <s v="Куртка"/>
    <n v="84100.06"/>
    <n v="3"/>
    <s v="Московская область"/>
    <n v="252300.18"/>
    <s v="2023-05"/>
    <n v="701"/>
  </r>
  <r>
    <n v="832"/>
    <d v="2023-05-28T00:00:00"/>
    <s v="Товары для дома"/>
    <s v="Плед"/>
    <n v="133018.41"/>
    <n v="7"/>
    <s v="Санкт‑Петербург"/>
    <n v="931128.87"/>
    <s v="2023-05"/>
    <n v="117"/>
  </r>
  <r>
    <n v="449"/>
    <d v="2023-05-29T00:00:00"/>
    <s v="Продукты"/>
    <s v="Кофе"/>
    <n v="36288.84"/>
    <n v="9"/>
    <s v="Санкт‑Петербург"/>
    <n v="326599.56"/>
    <s v="2023-05"/>
    <n v="606"/>
  </r>
  <r>
    <n v="705"/>
    <d v="2023-05-29T00:00:00"/>
    <s v="Продукты"/>
    <s v="Кофе"/>
    <n v="104436.2"/>
    <n v="1"/>
    <s v="Москва"/>
    <n v="104436.2"/>
    <s v="2023-05"/>
    <n v="961"/>
  </r>
  <r>
    <n v="641"/>
    <d v="2023-05-30T00:00:00"/>
    <s v="Одежда"/>
    <s v="Кроссовки"/>
    <n v="145505.74"/>
    <n v="4"/>
    <s v="Московская область"/>
    <n v="582022.96"/>
    <s v="2023-05"/>
    <n v="332"/>
  </r>
  <r>
    <n v="1059"/>
    <d v="2023-05-30T00:00:00"/>
    <s v="Товары для дома"/>
    <s v="Полотенце"/>
    <n v="113255.04"/>
    <n v="2"/>
    <s v="Санкт‑Петербург"/>
    <n v="226510.08"/>
    <s v="2023-05"/>
    <n v="740"/>
  </r>
  <r>
    <n v="1063"/>
    <d v="2023-05-30T00:00:00"/>
    <s v="Товары для дома"/>
    <s v="Полотенце"/>
    <n v="39058.13"/>
    <n v="3"/>
    <s v="Новосибирск"/>
    <n v="117174.39"/>
    <s v="2023-05"/>
    <n v="935"/>
  </r>
  <r>
    <n v="711"/>
    <d v="2023-05-31T00:00:00"/>
    <s v="Продукты"/>
    <s v="Хлеб"/>
    <n v="94612.14"/>
    <n v="9"/>
    <s v="Екатеринбург"/>
    <n v="851509.26"/>
    <s v="2023-05"/>
    <n v="165"/>
  </r>
  <r>
    <n v="779"/>
    <d v="2023-05-31T00:00:00"/>
    <s v="Продукты"/>
    <s v="Шоколад"/>
    <n v="65897.43"/>
    <n v="5"/>
    <s v="Московская область"/>
    <n v="329487.15"/>
    <s v="2023-05"/>
    <n v="602"/>
  </r>
  <r>
    <n v="815"/>
    <d v="2023-05-31T00:00:00"/>
    <s v="Продукты"/>
    <s v="Молоко"/>
    <n v="112501.67"/>
    <n v="6"/>
    <s v="Екатеринбург"/>
    <n v="675010.02"/>
    <s v="2023-05"/>
    <n v="283"/>
  </r>
  <r>
    <n v="346"/>
    <d v="2023-06-01T00:00:00"/>
    <s v="Электроника"/>
    <s v="Ноутбук"/>
    <n v="42384.78"/>
    <n v="5"/>
    <s v="Москва"/>
    <n v="211923.9"/>
    <s v="2023-06"/>
    <n v="773"/>
  </r>
  <r>
    <n v="896"/>
    <d v="2023-06-01T00:00:00"/>
    <s v="Электроника"/>
    <s v="Смартфон"/>
    <n v="37759.94"/>
    <n v="5"/>
    <s v="Казань"/>
    <n v="188799.7"/>
    <s v="2023-06"/>
    <n v="806"/>
  </r>
  <r>
    <n v="1186"/>
    <d v="2023-06-01T00:00:00"/>
    <s v="Одежда"/>
    <s v="Джинсы"/>
    <n v="131616.87"/>
    <n v="10"/>
    <s v="Новосибирск"/>
    <n v="1316168.7"/>
    <s v="2023-06"/>
    <n v="14"/>
  </r>
  <r>
    <n v="14"/>
    <d v="2023-06-02T00:00:00"/>
    <s v="Продукты"/>
    <s v="Шоколад"/>
    <n v="10677.09"/>
    <n v="6"/>
    <s v="Москва"/>
    <n v="64062.54"/>
    <s v="2023-06"/>
    <n v="1049"/>
  </r>
  <r>
    <n v="297"/>
    <d v="2023-06-02T00:00:00"/>
    <s v="Электроника"/>
    <s v="Наушники"/>
    <n v="38450.3"/>
    <n v="3"/>
    <s v="Казань"/>
    <n v="115350.9"/>
    <s v="2023-06"/>
    <n v="939"/>
  </r>
  <r>
    <n v="130"/>
    <d v="2023-06-03T00:00:00"/>
    <s v="Товары для дома"/>
    <s v="Плед"/>
    <n v="29275.83"/>
    <n v="1"/>
    <s v="Новосибирск"/>
    <n v="29275.83"/>
    <s v="2023-06"/>
    <n v="1129"/>
  </r>
  <r>
    <n v="544"/>
    <d v="2023-06-03T00:00:00"/>
    <s v="Продукты"/>
    <s v="Молоко"/>
    <n v="90695.15"/>
    <n v="10"/>
    <s v="Новосибирск"/>
    <n v="906951.5"/>
    <s v="2023-06"/>
    <n v="133"/>
  </r>
  <r>
    <n v="680"/>
    <d v="2023-06-03T00:00:00"/>
    <s v="Товары для дома"/>
    <s v="Кружка"/>
    <n v="96088.22"/>
    <n v="5"/>
    <s v="Москва"/>
    <n v="480441.1"/>
    <s v="2023-06"/>
    <n v="427"/>
  </r>
  <r>
    <n v="724"/>
    <d v="2023-06-03T00:00:00"/>
    <s v="Одежда"/>
    <s v="Куртка"/>
    <n v="95168.14"/>
    <n v="4"/>
    <s v="Московская область"/>
    <n v="380672.56"/>
    <s v="2023-06"/>
    <n v="547"/>
  </r>
  <r>
    <n v="1168"/>
    <d v="2023-06-03T00:00:00"/>
    <s v="Одежда"/>
    <s v="Футболка"/>
    <n v="7599.33"/>
    <n v="2"/>
    <s v="Екатеринбург"/>
    <n v="15198.66"/>
    <s v="2023-06"/>
    <n v="1167"/>
  </r>
  <r>
    <n v="171"/>
    <d v="2023-06-04T00:00:00"/>
    <s v="Одежда"/>
    <s v="Футболка"/>
    <n v="110247.5"/>
    <n v="5"/>
    <s v="Санкт‑Петербург"/>
    <n v="551237.5"/>
    <s v="2023-06"/>
    <n v="368"/>
  </r>
  <r>
    <n v="214"/>
    <d v="2023-06-04T00:00:00"/>
    <s v="Товары для дома"/>
    <s v="Плед"/>
    <n v="108040.25"/>
    <n v="8"/>
    <s v="Санкт‑Петербург"/>
    <n v="864322"/>
    <s v="2023-06"/>
    <n v="155"/>
  </r>
  <r>
    <n v="299"/>
    <d v="2023-06-04T00:00:00"/>
    <s v="Товары для дома"/>
    <s v="Плед"/>
    <n v="17229.66"/>
    <n v="8"/>
    <s v="Санкт‑Петербург"/>
    <n v="137837.28"/>
    <s v="2023-06"/>
    <n v="884"/>
  </r>
  <r>
    <n v="726"/>
    <d v="2023-06-04T00:00:00"/>
    <s v="Продукты"/>
    <s v="Молоко"/>
    <n v="17573.62"/>
    <n v="3"/>
    <s v="Казань"/>
    <n v="52720.86"/>
    <s v="2023-06"/>
    <n v="1079"/>
  </r>
  <r>
    <n v="793"/>
    <d v="2023-06-04T00:00:00"/>
    <s v="Товары для дома"/>
    <s v="Кружка"/>
    <n v="28667.24"/>
    <n v="2"/>
    <s v="Московская область"/>
    <n v="57334.48"/>
    <s v="2023-06"/>
    <n v="1067"/>
  </r>
  <r>
    <n v="390"/>
    <d v="2023-06-05T00:00:00"/>
    <s v="Продукты"/>
    <s v="Шоколад"/>
    <n v="136221.16"/>
    <n v="8"/>
    <s v="Москва"/>
    <n v="1089769.28"/>
    <s v="2023-06"/>
    <n v="67"/>
  </r>
  <r>
    <n v="769"/>
    <d v="2023-06-05T00:00:00"/>
    <s v="Товары для дома"/>
    <s v="Кружка"/>
    <n v="98123.32"/>
    <n v="7"/>
    <s v="Москва"/>
    <n v="686863.24"/>
    <s v="2023-06"/>
    <n v="274"/>
  </r>
  <r>
    <n v="1066"/>
    <d v="2023-06-05T00:00:00"/>
    <s v="Товары для дома"/>
    <s v="Кружка"/>
    <n v="82885.34"/>
    <n v="6"/>
    <s v="Новосибирск"/>
    <n v="497312.04"/>
    <s v="2023-06"/>
    <n v="412"/>
  </r>
  <r>
    <n v="1094"/>
    <d v="2023-06-05T00:00:00"/>
    <s v="Электроника"/>
    <s v="Ноутбук"/>
    <n v="130479.19"/>
    <n v="2"/>
    <s v="Новосибирск"/>
    <n v="260958.38"/>
    <s v="2023-06"/>
    <n v="684"/>
  </r>
  <r>
    <n v="69"/>
    <d v="2023-06-06T00:00:00"/>
    <s v="Товары для дома"/>
    <s v="Полотенце"/>
    <n v="21299.25"/>
    <n v="4"/>
    <s v="Москва"/>
    <n v="85197"/>
    <s v="2023-06"/>
    <n v="1003"/>
  </r>
  <r>
    <n v="500"/>
    <d v="2023-06-06T00:00:00"/>
    <s v="Товары для дома"/>
    <s v="Кружка"/>
    <n v="85135.68"/>
    <n v="3"/>
    <s v="Казань"/>
    <n v="255407.04"/>
    <s v="2023-06"/>
    <n v="694"/>
  </r>
  <r>
    <n v="561"/>
    <d v="2023-06-06T00:00:00"/>
    <s v="Одежда"/>
    <s v="Кроссовки"/>
    <n v="75657.5"/>
    <n v="1"/>
    <s v="Московская область"/>
    <n v="75657.5"/>
    <s v="2023-06"/>
    <n v="1026"/>
  </r>
  <r>
    <n v="584"/>
    <d v="2023-06-06T00:00:00"/>
    <s v="Электроника"/>
    <s v="Смартфон"/>
    <n v="103205.33"/>
    <n v="3"/>
    <s v="Казань"/>
    <n v="309615.99"/>
    <s v="2023-06"/>
    <n v="627"/>
  </r>
  <r>
    <n v="1015"/>
    <d v="2023-06-06T00:00:00"/>
    <s v="Товары для дома"/>
    <s v="Подушка"/>
    <n v="63615.61"/>
    <n v="10"/>
    <s v="Московская область"/>
    <n v="636156.1"/>
    <s v="2023-06"/>
    <n v="301"/>
  </r>
  <r>
    <n v="1027"/>
    <d v="2023-06-07T00:00:00"/>
    <s v="Одежда"/>
    <s v="Кроссовки"/>
    <n v="54085.09"/>
    <n v="7"/>
    <s v="Екатеринбург"/>
    <n v="378595.63"/>
    <s v="2023-06"/>
    <n v="550"/>
  </r>
  <r>
    <n v="164"/>
    <d v="2023-06-08T00:00:00"/>
    <s v="Товары для дома"/>
    <s v="Кружка"/>
    <n v="100185.54"/>
    <n v="6"/>
    <s v="Московская область"/>
    <n v="601113.24"/>
    <s v="2023-06"/>
    <n v="317"/>
  </r>
  <r>
    <n v="372"/>
    <d v="2023-06-08T00:00:00"/>
    <s v="Одежда"/>
    <s v="Куртка"/>
    <n v="35878.55"/>
    <n v="4"/>
    <s v="Новосибирск"/>
    <n v="143514.2"/>
    <s v="2023-06"/>
    <n v="871"/>
  </r>
  <r>
    <n v="1022"/>
    <d v="2023-06-08T00:00:00"/>
    <s v="Одежда"/>
    <s v="Джинсы"/>
    <n v="61455.67"/>
    <n v="5"/>
    <s v="Екатеринбург"/>
    <n v="307278.35"/>
    <s v="2023-06"/>
    <n v="628"/>
  </r>
  <r>
    <n v="70"/>
    <d v="2023-06-10T00:00:00"/>
    <s v="Товары для дома"/>
    <s v="Подушка"/>
    <n v="86180.05"/>
    <n v="5"/>
    <s v="Екатеринбург"/>
    <n v="430900.25"/>
    <s v="2023-06"/>
    <n v="481"/>
  </r>
  <r>
    <n v="209"/>
    <d v="2023-06-10T00:00:00"/>
    <s v="Электроника"/>
    <s v="Наушники"/>
    <n v="75345.73"/>
    <n v="10"/>
    <s v="Казань"/>
    <n v="753457.3"/>
    <s v="2023-06"/>
    <n v="226"/>
  </r>
  <r>
    <n v="302"/>
    <d v="2023-06-10T00:00:00"/>
    <s v="Товары для дома"/>
    <s v="Полотенце"/>
    <n v="77518.2"/>
    <n v="10"/>
    <s v="Московская область"/>
    <n v="775182"/>
    <s v="2023-06"/>
    <n v="208"/>
  </r>
  <r>
    <n v="529"/>
    <d v="2023-06-10T00:00:00"/>
    <s v="Товары для дома"/>
    <s v="Кружка"/>
    <n v="17739.57"/>
    <n v="2"/>
    <s v="Казань"/>
    <n v="35479.14"/>
    <s v="2023-06"/>
    <n v="1111"/>
  </r>
  <r>
    <n v="647"/>
    <d v="2023-06-10T00:00:00"/>
    <s v="Одежда"/>
    <s v="Футболка"/>
    <n v="39061.35"/>
    <n v="4"/>
    <s v="Московская область"/>
    <n v="156245.4"/>
    <s v="2023-06"/>
    <n v="843"/>
  </r>
  <r>
    <n v="744"/>
    <d v="2023-06-10T00:00:00"/>
    <s v="Товары для дома"/>
    <s v="Плед"/>
    <n v="19167.36"/>
    <n v="8"/>
    <s v="Московская область"/>
    <n v="153338.88"/>
    <s v="2023-06"/>
    <n v="848"/>
  </r>
  <r>
    <n v="139"/>
    <d v="2023-06-11T00:00:00"/>
    <s v="Одежда"/>
    <s v="Куртка"/>
    <n v="121480.54"/>
    <n v="6"/>
    <s v="Москва"/>
    <n v="728883.24"/>
    <s v="2023-06"/>
    <n v="243"/>
  </r>
  <r>
    <n v="347"/>
    <d v="2023-06-11T00:00:00"/>
    <s v="Товары для дома"/>
    <s v="Плед"/>
    <n v="140220.14"/>
    <n v="8"/>
    <s v="Санкт‑Петербург"/>
    <n v="1121761.12"/>
    <s v="2023-06"/>
    <n v="59"/>
  </r>
  <r>
    <n v="469"/>
    <d v="2023-06-11T00:00:00"/>
    <s v="Товары для дома"/>
    <s v="Плед"/>
    <n v="33143.87"/>
    <n v="8"/>
    <s v="Казань"/>
    <n v="265150.96"/>
    <s v="2023-06"/>
    <n v="674"/>
  </r>
  <r>
    <n v="773"/>
    <d v="2023-06-11T00:00:00"/>
    <s v="Товары для дома"/>
    <s v="Подушка"/>
    <n v="55818.31"/>
    <n v="4"/>
    <s v="Новосибирск"/>
    <n v="223273.24"/>
    <s v="2023-06"/>
    <n v="748"/>
  </r>
  <r>
    <n v="852"/>
    <d v="2023-06-11T00:00:00"/>
    <s v="Электроника"/>
    <s v="Ноутбук"/>
    <n v="77854.78"/>
    <n v="10"/>
    <s v="Екатеринбург"/>
    <n v="778547.8"/>
    <s v="2023-06"/>
    <n v="207"/>
  </r>
  <r>
    <n v="854"/>
    <d v="2023-06-11T00:00:00"/>
    <s v="Продукты"/>
    <s v="Кофе"/>
    <n v="84786.32"/>
    <n v="9"/>
    <s v="Казань"/>
    <n v="763076.88"/>
    <s v="2023-06"/>
    <n v="220"/>
  </r>
  <r>
    <n v="924"/>
    <d v="2023-06-11T00:00:00"/>
    <s v="Продукты"/>
    <s v="Молоко"/>
    <n v="26385.25"/>
    <n v="7"/>
    <s v="Казань"/>
    <n v="184696.75"/>
    <s v="2023-06"/>
    <n v="809"/>
  </r>
  <r>
    <n v="992"/>
    <d v="2023-06-11T00:00:00"/>
    <s v="Товары для дома"/>
    <s v="Кружка"/>
    <n v="90382.63"/>
    <n v="8"/>
    <s v="Санкт‑Петербург"/>
    <n v="723061.04"/>
    <s v="2023-06"/>
    <n v="249"/>
  </r>
  <r>
    <n v="396"/>
    <d v="2023-06-12T00:00:00"/>
    <s v="Электроника"/>
    <s v="Планшет"/>
    <n v="91499.44"/>
    <n v="8"/>
    <s v="Казань"/>
    <n v="731995.52"/>
    <s v="2023-06"/>
    <n v="240"/>
  </r>
  <r>
    <n v="1012"/>
    <d v="2023-06-12T00:00:00"/>
    <s v="Электроника"/>
    <s v="Ноутбук"/>
    <n v="84588.9"/>
    <n v="5"/>
    <s v="Московская область"/>
    <n v="422944.5"/>
    <s v="2023-06"/>
    <n v="492"/>
  </r>
  <r>
    <n v="63"/>
    <d v="2023-06-13T00:00:00"/>
    <s v="Продукты"/>
    <s v="Кофе"/>
    <n v="86984.79"/>
    <n v="10"/>
    <s v="Новосибирск"/>
    <n v="869847.9"/>
    <s v="2023-06"/>
    <n v="153"/>
  </r>
  <r>
    <n v="483"/>
    <d v="2023-06-13T00:00:00"/>
    <s v="Товары для дома"/>
    <s v="Полотенце"/>
    <n v="19535.25"/>
    <n v="4"/>
    <s v="Екатеринбург"/>
    <n v="78141"/>
    <s v="2023-06"/>
    <n v="1021"/>
  </r>
  <r>
    <n v="557"/>
    <d v="2023-06-13T00:00:00"/>
    <s v="Товары для дома"/>
    <s v="Полотенце"/>
    <n v="86120.44"/>
    <n v="3"/>
    <s v="Казань"/>
    <n v="258361.32"/>
    <s v="2023-06"/>
    <n v="687"/>
  </r>
  <r>
    <n v="651"/>
    <d v="2023-06-13T00:00:00"/>
    <s v="Продукты"/>
    <s v="Кофе"/>
    <n v="147166.26"/>
    <n v="3"/>
    <s v="Новосибирск"/>
    <n v="441498.78"/>
    <s v="2023-06"/>
    <n v="464"/>
  </r>
  <r>
    <n v="127"/>
    <d v="2023-06-15T00:00:00"/>
    <s v="Электроника"/>
    <s v="Планшет"/>
    <n v="101352.19"/>
    <n v="6"/>
    <s v="Казань"/>
    <n v="608113.14"/>
    <s v="2023-06"/>
    <n v="313"/>
  </r>
  <r>
    <n v="128"/>
    <d v="2023-06-15T00:00:00"/>
    <s v="Электроника"/>
    <s v="Планшет"/>
    <n v="18539.35"/>
    <n v="10"/>
    <s v="Казань"/>
    <n v="185393.5"/>
    <s v="2023-06"/>
    <n v="808"/>
  </r>
  <r>
    <n v="571"/>
    <d v="2023-06-15T00:00:00"/>
    <s v="Продукты"/>
    <s v="Кофе"/>
    <n v="23385.92"/>
    <n v="9"/>
    <s v="Екатеринбург"/>
    <n v="210473.28"/>
    <s v="2023-06"/>
    <n v="776"/>
  </r>
  <r>
    <n v="342"/>
    <d v="2023-06-16T00:00:00"/>
    <s v="Продукты"/>
    <s v="Кофе"/>
    <n v="13648.43"/>
    <n v="4"/>
    <s v="Казань"/>
    <n v="54593.72"/>
    <s v="2023-06"/>
    <n v="1076"/>
  </r>
  <r>
    <n v="606"/>
    <d v="2023-06-16T00:00:00"/>
    <s v="Товары для дома"/>
    <s v="Кружка"/>
    <n v="75223.97"/>
    <n v="7"/>
    <s v="Екатеринбург"/>
    <n v="526567.79"/>
    <s v="2023-06"/>
    <n v="388"/>
  </r>
  <r>
    <n v="725"/>
    <d v="2023-06-16T00:00:00"/>
    <s v="Товары для дома"/>
    <s v="Кружка"/>
    <n v="39135.24"/>
    <n v="3"/>
    <s v="Казань"/>
    <n v="117405.72"/>
    <s v="2023-06"/>
    <n v="934"/>
  </r>
  <r>
    <n v="887"/>
    <d v="2023-06-16T00:00:00"/>
    <s v="Одежда"/>
    <s v="Кроссовки"/>
    <n v="79525.79"/>
    <n v="2"/>
    <s v="Московская область"/>
    <n v="159051.58"/>
    <s v="2023-06"/>
    <n v="840"/>
  </r>
  <r>
    <n v="1132"/>
    <d v="2023-06-16T00:00:00"/>
    <s v="Продукты"/>
    <s v="Шоколад"/>
    <n v="133180.18"/>
    <n v="4"/>
    <s v="Новосибирск"/>
    <n v="532720.72"/>
    <s v="2023-06"/>
    <n v="382"/>
  </r>
  <r>
    <n v="537"/>
    <d v="2023-06-17T00:00:00"/>
    <s v="Электроника"/>
    <s v="Смартфон"/>
    <n v="132554.16"/>
    <n v="4"/>
    <s v="Москва"/>
    <n v="530216.64"/>
    <s v="2023-06"/>
    <n v="383"/>
  </r>
  <r>
    <n v="181"/>
    <d v="2023-06-18T00:00:00"/>
    <s v="Электроника"/>
    <s v="Смартфон"/>
    <n v="108631.63"/>
    <n v="7"/>
    <s v="Санкт‑Петербург"/>
    <n v="760421.41"/>
    <s v="2023-06"/>
    <n v="221"/>
  </r>
  <r>
    <n v="925"/>
    <d v="2023-06-18T00:00:00"/>
    <s v="Продукты"/>
    <s v="Хлеб"/>
    <n v="111680.52"/>
    <n v="4"/>
    <s v="Казань"/>
    <n v="446722.08"/>
    <s v="2023-06"/>
    <n v="456"/>
  </r>
  <r>
    <n v="85"/>
    <d v="2023-06-19T00:00:00"/>
    <s v="Одежда"/>
    <s v="Футболка"/>
    <n v="127064.11"/>
    <n v="2"/>
    <s v="Московская область"/>
    <n v="254128.22"/>
    <s v="2023-06"/>
    <n v="698"/>
  </r>
  <r>
    <n v="176"/>
    <d v="2023-06-19T00:00:00"/>
    <s v="Продукты"/>
    <s v="Шоколад"/>
    <n v="100848.23"/>
    <n v="5"/>
    <s v="Москва"/>
    <n v="504241.15"/>
    <s v="2023-06"/>
    <n v="408"/>
  </r>
  <r>
    <n v="9"/>
    <d v="2023-06-20T00:00:00"/>
    <s v="Товары для дома"/>
    <s v="Полотенце"/>
    <n v="131245.73"/>
    <n v="8"/>
    <s v="Москва"/>
    <n v="1049965.84"/>
    <s v="2023-06"/>
    <n v="73"/>
  </r>
  <r>
    <n v="636"/>
    <d v="2023-06-20T00:00:00"/>
    <s v="Электроника"/>
    <s v="Смартфон"/>
    <n v="26565.4"/>
    <n v="3"/>
    <s v="Московская область"/>
    <n v="79696.2"/>
    <s v="2023-06"/>
    <n v="1017"/>
  </r>
  <r>
    <n v="797"/>
    <d v="2023-06-20T00:00:00"/>
    <s v="Товары для дома"/>
    <s v="Кружка"/>
    <n v="36923.7"/>
    <n v="10"/>
    <s v="Санкт‑Петербург"/>
    <n v="369237"/>
    <s v="2023-06"/>
    <n v="561"/>
  </r>
  <r>
    <n v="988"/>
    <d v="2023-06-20T00:00:00"/>
    <s v="Продукты"/>
    <s v="Кофе"/>
    <n v="141302.36"/>
    <n v="10"/>
    <s v="Москва"/>
    <n v="1413023.6"/>
    <s v="2023-06"/>
    <n v="5"/>
  </r>
  <r>
    <n v="400"/>
    <d v="2023-06-21T00:00:00"/>
    <s v="Товары для дома"/>
    <s v="Плед"/>
    <n v="29316.24"/>
    <n v="8"/>
    <s v="Казань"/>
    <n v="234529.92"/>
    <s v="2023-06"/>
    <n v="733"/>
  </r>
  <r>
    <n v="703"/>
    <d v="2023-06-21T00:00:00"/>
    <s v="Товары для дома"/>
    <s v="Кружка"/>
    <n v="32670.06"/>
    <n v="2"/>
    <s v="Екатеринбург"/>
    <n v="65340.12"/>
    <s v="2023-06"/>
    <n v="1044"/>
  </r>
  <r>
    <n v="989"/>
    <d v="2023-06-21T00:00:00"/>
    <s v="Товары для дома"/>
    <s v="Плед"/>
    <n v="62177.79"/>
    <n v="10"/>
    <s v="Екатеринбург"/>
    <n v="621777.9"/>
    <s v="2023-06"/>
    <n v="308"/>
  </r>
  <r>
    <n v="359"/>
    <d v="2023-06-22T00:00:00"/>
    <s v="Одежда"/>
    <s v="Кроссовки"/>
    <n v="112475.56"/>
    <n v="3"/>
    <s v="Санкт‑Петербург"/>
    <n v="337426.68"/>
    <s v="2023-06"/>
    <n v="595"/>
  </r>
  <r>
    <n v="415"/>
    <d v="2023-06-22T00:00:00"/>
    <s v="Одежда"/>
    <s v="Куртка"/>
    <n v="140453.5"/>
    <n v="7"/>
    <s v="Москва"/>
    <n v="983174.5"/>
    <s v="2023-06"/>
    <n v="95"/>
  </r>
  <r>
    <n v="438"/>
    <d v="2023-06-22T00:00:00"/>
    <s v="Продукты"/>
    <s v="Шоколад"/>
    <n v="52560.81"/>
    <n v="9"/>
    <s v="Новосибирск"/>
    <n v="473047.29"/>
    <s v="2023-06"/>
    <n v="432"/>
  </r>
  <r>
    <n v="936"/>
    <d v="2023-06-22T00:00:00"/>
    <s v="Одежда"/>
    <s v="Куртка"/>
    <n v="50833.49"/>
    <n v="5"/>
    <s v="Казань"/>
    <n v="254167.45"/>
    <s v="2023-06"/>
    <n v="697"/>
  </r>
  <r>
    <n v="1064"/>
    <d v="2023-06-22T00:00:00"/>
    <s v="Одежда"/>
    <s v="Кроссовки"/>
    <n v="124109.09"/>
    <n v="4"/>
    <s v="Санкт‑Петербург"/>
    <n v="496436.36"/>
    <s v="2023-06"/>
    <n v="414"/>
  </r>
  <r>
    <n v="780"/>
    <d v="2023-06-23T00:00:00"/>
    <s v="Продукты"/>
    <s v="Хлеб"/>
    <n v="53538.25"/>
    <n v="5"/>
    <s v="Казань"/>
    <n v="267691.25"/>
    <s v="2023-06"/>
    <n v="672"/>
  </r>
  <r>
    <n v="932"/>
    <d v="2023-06-23T00:00:00"/>
    <s v="Одежда"/>
    <s v="Футболка"/>
    <n v="35672.37"/>
    <n v="10"/>
    <s v="Казань"/>
    <n v="356723.7"/>
    <s v="2023-06"/>
    <n v="577"/>
  </r>
  <r>
    <n v="652"/>
    <d v="2023-06-24T00:00:00"/>
    <s v="Товары для дома"/>
    <s v="Подушка"/>
    <n v="122939.45"/>
    <n v="6"/>
    <s v="Екатеринбург"/>
    <n v="737636.7"/>
    <s v="2023-06"/>
    <n v="232"/>
  </r>
  <r>
    <n v="811"/>
    <d v="2023-06-24T00:00:00"/>
    <s v="Товары для дома"/>
    <s v="Подушка"/>
    <n v="81552.08"/>
    <n v="4"/>
    <s v="Санкт‑Петербург"/>
    <n v="326208.32"/>
    <s v="2023-06"/>
    <n v="607"/>
  </r>
  <r>
    <n v="1147"/>
    <d v="2023-06-24T00:00:00"/>
    <s v="Одежда"/>
    <s v="Кроссовки"/>
    <n v="1664.6"/>
    <n v="8"/>
    <s v="Московская область"/>
    <n v="13316.8"/>
    <s v="2023-06"/>
    <n v="1173"/>
  </r>
  <r>
    <n v="860"/>
    <d v="2023-06-25T00:00:00"/>
    <s v="Одежда"/>
    <s v="Джинсы"/>
    <n v="5618.25"/>
    <n v="3"/>
    <s v="Казань"/>
    <n v="16854.75"/>
    <s v="2023-06"/>
    <n v="1163"/>
  </r>
  <r>
    <n v="541"/>
    <d v="2023-06-26T00:00:00"/>
    <s v="Одежда"/>
    <s v="Футболка"/>
    <n v="19506.97"/>
    <n v="7"/>
    <s v="Новосибирск"/>
    <n v="136548.79"/>
    <s v="2023-06"/>
    <n v="887"/>
  </r>
  <r>
    <n v="31"/>
    <d v="2023-06-27T00:00:00"/>
    <s v="Продукты"/>
    <s v="Хлеб"/>
    <n v="63370.25"/>
    <n v="9"/>
    <s v="Санкт‑Петербург"/>
    <n v="570332.25"/>
    <s v="2023-06"/>
    <n v="352"/>
  </r>
  <r>
    <n v="116"/>
    <d v="2023-06-27T00:00:00"/>
    <s v="Одежда"/>
    <s v="Джинсы"/>
    <n v="81494.77"/>
    <n v="7"/>
    <s v="Московская область"/>
    <n v="570463.39"/>
    <s v="2023-06"/>
    <n v="349"/>
  </r>
  <r>
    <n v="174"/>
    <d v="2023-06-27T00:00:00"/>
    <s v="Товары для дома"/>
    <s v="Кружка"/>
    <n v="138696.21"/>
    <n v="5"/>
    <s v="Екатеринбург"/>
    <n v="693481.05"/>
    <s v="2023-06"/>
    <n v="266"/>
  </r>
  <r>
    <n v="418"/>
    <d v="2023-06-27T00:00:00"/>
    <s v="Одежда"/>
    <s v="Футболка"/>
    <n v="35638.98"/>
    <n v="10"/>
    <s v="Санкт‑Петербург"/>
    <n v="356389.8"/>
    <s v="2023-06"/>
    <n v="578"/>
  </r>
  <r>
    <n v="509"/>
    <d v="2023-06-27T00:00:00"/>
    <s v="Товары для дома"/>
    <s v="Полотенце"/>
    <n v="39517.78"/>
    <n v="1"/>
    <s v="Москва"/>
    <n v="39517.78"/>
    <s v="2023-06"/>
    <n v="1107"/>
  </r>
  <r>
    <n v="855"/>
    <d v="2023-06-27T00:00:00"/>
    <s v="Товары для дома"/>
    <s v="Полотенце"/>
    <n v="118413.28"/>
    <n v="4"/>
    <s v="Московская область"/>
    <n v="473653.12"/>
    <s v="2023-06"/>
    <n v="431"/>
  </r>
  <r>
    <n v="328"/>
    <d v="2023-06-28T00:00:00"/>
    <s v="Одежда"/>
    <s v="Джинсы"/>
    <n v="11157.65"/>
    <n v="2"/>
    <s v="Санкт‑Петербург"/>
    <n v="22315.3"/>
    <s v="2023-06"/>
    <n v="1148"/>
  </r>
  <r>
    <n v="722"/>
    <d v="2023-06-28T00:00:00"/>
    <s v="Продукты"/>
    <s v="Кофе"/>
    <n v="140569.95"/>
    <n v="2"/>
    <s v="Москва"/>
    <n v="281139.9"/>
    <s v="2023-06"/>
    <n v="655"/>
  </r>
  <r>
    <n v="72"/>
    <d v="2023-06-29T00:00:00"/>
    <s v="Одежда"/>
    <s v="Кроссовки"/>
    <n v="101605.53"/>
    <n v="7"/>
    <s v="Казань"/>
    <n v="711238.71"/>
    <s v="2023-06"/>
    <n v="258"/>
  </r>
  <r>
    <n v="387"/>
    <d v="2023-06-29T00:00:00"/>
    <s v="Продукты"/>
    <s v="Шоколад"/>
    <n v="119254.95"/>
    <n v="10"/>
    <s v="Новосибирск"/>
    <n v="1192549.5"/>
    <s v="2023-06"/>
    <n v="34"/>
  </r>
  <r>
    <n v="627"/>
    <d v="2023-06-29T00:00:00"/>
    <s v="Электроника"/>
    <s v="Смартфон"/>
    <n v="2426.31"/>
    <n v="7"/>
    <s v="Екатеринбург"/>
    <n v="16984.17"/>
    <s v="2023-06"/>
    <n v="1162"/>
  </r>
  <r>
    <n v="763"/>
    <d v="2023-06-29T00:00:00"/>
    <s v="Продукты"/>
    <s v="Шоколад"/>
    <n v="52632.88"/>
    <n v="4"/>
    <s v="Москва"/>
    <n v="210531.52"/>
    <s v="2023-06"/>
    <n v="775"/>
  </r>
  <r>
    <n v="1062"/>
    <d v="2023-06-29T00:00:00"/>
    <s v="Электроника"/>
    <s v="Смартфон"/>
    <n v="54656.93"/>
    <n v="6"/>
    <s v="Екатеринбург"/>
    <n v="327941.58"/>
    <s v="2023-06"/>
    <n v="605"/>
  </r>
  <r>
    <n v="232"/>
    <d v="2023-06-30T00:00:00"/>
    <s v="Продукты"/>
    <s v="Хлеб"/>
    <n v="13703.08"/>
    <n v="7"/>
    <s v="Казань"/>
    <n v="95921.56"/>
    <s v="2023-06"/>
    <n v="977"/>
  </r>
  <r>
    <n v="540"/>
    <d v="2023-06-30T00:00:00"/>
    <s v="Товары для дома"/>
    <s v="Подушка"/>
    <n v="75364.85"/>
    <n v="8"/>
    <s v="Екатеринбург"/>
    <n v="602918.8"/>
    <s v="2023-06"/>
    <n v="315"/>
  </r>
  <r>
    <n v="57"/>
    <d v="2023-07-01T00:00:00"/>
    <s v="Продукты"/>
    <s v="Молоко"/>
    <n v="21272.41"/>
    <n v="1"/>
    <s v="Екатеринбург"/>
    <n v="21272.41"/>
    <s v="2023-07"/>
    <n v="1150"/>
  </r>
  <r>
    <n v="59"/>
    <d v="2023-07-01T00:00:00"/>
    <s v="Одежда"/>
    <s v="Футболка"/>
    <n v="91400.19"/>
    <n v="4"/>
    <s v="Новосибирск"/>
    <n v="365600.76"/>
    <s v="2023-07"/>
    <n v="565"/>
  </r>
  <r>
    <n v="222"/>
    <d v="2023-07-01T00:00:00"/>
    <s v="Продукты"/>
    <s v="Хлеб"/>
    <n v="125918.07"/>
    <n v="2"/>
    <s v="Казань"/>
    <n v="251836.14"/>
    <s v="2023-07"/>
    <n v="702"/>
  </r>
  <r>
    <n v="303"/>
    <d v="2023-07-02T00:00:00"/>
    <s v="Продукты"/>
    <s v="Кофе"/>
    <n v="30385.36"/>
    <n v="3"/>
    <s v="Москва"/>
    <n v="91156.08"/>
    <s v="2023-07"/>
    <n v="988"/>
  </r>
  <r>
    <n v="454"/>
    <d v="2023-07-02T00:00:00"/>
    <s v="Товары для дома"/>
    <s v="Подушка"/>
    <n v="8950.4"/>
    <n v="6"/>
    <s v="Московская область"/>
    <n v="53702.4"/>
    <s v="2023-07"/>
    <n v="1078"/>
  </r>
  <r>
    <n v="718"/>
    <d v="2023-07-02T00:00:00"/>
    <s v="Продукты"/>
    <s v="Хлеб"/>
    <n v="106327.6"/>
    <n v="7"/>
    <s v="Новосибирск"/>
    <n v="744293.2"/>
    <s v="2023-07"/>
    <n v="230"/>
  </r>
  <r>
    <n v="22"/>
    <d v="2023-07-03T00:00:00"/>
    <s v="Товары для дома"/>
    <s v="Плед"/>
    <n v="146461.26"/>
    <n v="7"/>
    <s v="Казань"/>
    <n v="1025228.82"/>
    <s v="2023-07"/>
    <n v="81"/>
  </r>
  <r>
    <n v="34"/>
    <d v="2023-07-03T00:00:00"/>
    <s v="Одежда"/>
    <s v="Футболка"/>
    <n v="132602.02"/>
    <n v="10"/>
    <s v="Москва"/>
    <n v="1326020.2"/>
    <s v="2023-07"/>
    <n v="11"/>
  </r>
  <r>
    <n v="36"/>
    <d v="2023-07-03T00:00:00"/>
    <s v="Товары для дома"/>
    <s v="Полотенце"/>
    <n v="142191.81"/>
    <n v="1"/>
    <s v="Новосибирск"/>
    <n v="142191.81"/>
    <s v="2023-07"/>
    <n v="872"/>
  </r>
  <r>
    <n v="784"/>
    <d v="2023-07-03T00:00:00"/>
    <s v="Продукты"/>
    <s v="Молоко"/>
    <n v="147604.06"/>
    <n v="7"/>
    <s v="Москва"/>
    <n v="1033228.42"/>
    <s v="2023-07"/>
    <n v="79"/>
  </r>
  <r>
    <n v="227"/>
    <d v="2023-07-04T00:00:00"/>
    <s v="Товары для дома"/>
    <s v="Полотенце"/>
    <n v="21518.72"/>
    <n v="6"/>
    <s v="Казань"/>
    <n v="129112.32"/>
    <s v="2023-07"/>
    <n v="906"/>
  </r>
  <r>
    <n v="653"/>
    <d v="2023-07-04T00:00:00"/>
    <s v="Одежда"/>
    <s v="Куртка"/>
    <n v="117563.45"/>
    <n v="2"/>
    <s v="Екатеринбург"/>
    <n v="235126.9"/>
    <s v="2023-07"/>
    <n v="731"/>
  </r>
  <r>
    <n v="52"/>
    <d v="2023-07-05T00:00:00"/>
    <s v="Продукты"/>
    <s v="Хлеб"/>
    <n v="107964.16"/>
    <n v="8"/>
    <s v="Новосибирск"/>
    <n v="863713.28"/>
    <s v="2023-07"/>
    <n v="156"/>
  </r>
  <r>
    <n v="419"/>
    <d v="2023-07-05T00:00:00"/>
    <s v="Одежда"/>
    <s v="Кроссовки"/>
    <n v="137607.13"/>
    <n v="6"/>
    <s v="Казань"/>
    <n v="825642.78"/>
    <s v="2023-07"/>
    <n v="179"/>
  </r>
  <r>
    <n v="1173"/>
    <d v="2023-07-05T00:00:00"/>
    <s v="Электроника"/>
    <s v="Наушники"/>
    <n v="112323.94"/>
    <n v="1"/>
    <s v="Москва"/>
    <n v="112323.94"/>
    <s v="2023-07"/>
    <n v="945"/>
  </r>
  <r>
    <n v="98"/>
    <d v="2023-07-06T00:00:00"/>
    <s v="Продукты"/>
    <s v="Кофе"/>
    <n v="121900.12"/>
    <n v="6"/>
    <s v="Московская область"/>
    <n v="731400.72"/>
    <s v="2023-07"/>
    <n v="242"/>
  </r>
  <r>
    <n v="337"/>
    <d v="2023-07-06T00:00:00"/>
    <s v="Продукты"/>
    <s v="Шоколад"/>
    <n v="487.17"/>
    <n v="5"/>
    <s v="Екатеринбург"/>
    <n v="2435.85"/>
    <s v="2023-07"/>
    <n v="1196"/>
  </r>
  <r>
    <n v="526"/>
    <d v="2023-07-06T00:00:00"/>
    <s v="Товары для дома"/>
    <s v="Полотенце"/>
    <n v="56943.12"/>
    <n v="1"/>
    <s v="Казань"/>
    <n v="56943.12"/>
    <s v="2023-07"/>
    <n v="1071"/>
  </r>
  <r>
    <n v="180"/>
    <d v="2023-07-07T00:00:00"/>
    <s v="Одежда"/>
    <s v="Куртка"/>
    <n v="114201.36"/>
    <n v="5"/>
    <s v="Казань"/>
    <n v="571006.8"/>
    <s v="2023-07"/>
    <n v="348"/>
  </r>
  <r>
    <n v="414"/>
    <d v="2023-07-07T00:00:00"/>
    <s v="Электроника"/>
    <s v="Ноутбук"/>
    <n v="22088.58"/>
    <n v="1"/>
    <s v="Новосибирск"/>
    <n v="22088.58"/>
    <s v="2023-07"/>
    <n v="1149"/>
  </r>
  <r>
    <n v="502"/>
    <d v="2023-07-07T00:00:00"/>
    <s v="Продукты"/>
    <s v="Шоколад"/>
    <n v="64362.84"/>
    <n v="1"/>
    <s v="Екатеринбург"/>
    <n v="64362.84"/>
    <s v="2023-07"/>
    <n v="1046"/>
  </r>
  <r>
    <n v="709"/>
    <d v="2023-07-08T00:00:00"/>
    <s v="Продукты"/>
    <s v="Кофе"/>
    <n v="71130.21"/>
    <n v="4"/>
    <s v="Московская область"/>
    <n v="284520.84"/>
    <s v="2023-07"/>
    <n v="650"/>
  </r>
  <r>
    <n v="820"/>
    <d v="2023-07-08T00:00:00"/>
    <s v="Товары для дома"/>
    <s v="Полотенце"/>
    <n v="11159.16"/>
    <n v="10"/>
    <s v="Санкт‑Петербург"/>
    <n v="111591.6"/>
    <s v="2023-07"/>
    <n v="948"/>
  </r>
  <r>
    <n v="950"/>
    <d v="2023-07-08T00:00:00"/>
    <s v="Электроника"/>
    <s v="Ноутбук"/>
    <n v="117613.91"/>
    <n v="3"/>
    <s v="Казань"/>
    <n v="352841.73"/>
    <s v="2023-07"/>
    <n v="584"/>
  </r>
  <r>
    <n v="1090"/>
    <d v="2023-07-08T00:00:00"/>
    <s v="Продукты"/>
    <s v="Кофе"/>
    <n v="56926.76"/>
    <n v="4"/>
    <s v="Санкт‑Петербург"/>
    <n v="227707.04"/>
    <s v="2023-07"/>
    <n v="739"/>
  </r>
  <r>
    <n v="314"/>
    <d v="2023-07-09T00:00:00"/>
    <s v="Электроника"/>
    <s v="Наушники"/>
    <n v="98459.84"/>
    <n v="5"/>
    <s v="Москва"/>
    <n v="492299.2"/>
    <s v="2023-07"/>
    <n v="417"/>
  </r>
  <r>
    <n v="657"/>
    <d v="2023-07-09T00:00:00"/>
    <s v="Продукты"/>
    <s v="Хлеб"/>
    <n v="64978.81"/>
    <n v="7"/>
    <s v="Новосибирск"/>
    <n v="454851.67"/>
    <s v="2023-07"/>
    <n v="447"/>
  </r>
  <r>
    <n v="909"/>
    <d v="2023-07-09T00:00:00"/>
    <s v="Продукты"/>
    <s v="Кофе"/>
    <n v="31319.69"/>
    <n v="7"/>
    <s v="Казань"/>
    <n v="219237.83"/>
    <s v="2023-07"/>
    <n v="758"/>
  </r>
  <r>
    <n v="1007"/>
    <d v="2023-07-09T00:00:00"/>
    <s v="Электроника"/>
    <s v="Смартфон"/>
    <n v="97060.66"/>
    <n v="9"/>
    <s v="Казань"/>
    <n v="873545.94"/>
    <s v="2023-07"/>
    <n v="147"/>
  </r>
  <r>
    <n v="683"/>
    <d v="2023-07-10T00:00:00"/>
    <s v="Продукты"/>
    <s v="Хлеб"/>
    <n v="38765.96"/>
    <n v="10"/>
    <s v="Екатеринбург"/>
    <n v="387659.6"/>
    <s v="2023-07"/>
    <n v="541"/>
  </r>
  <r>
    <n v="1048"/>
    <d v="2023-07-10T00:00:00"/>
    <s v="Товары для дома"/>
    <s v="Подушка"/>
    <n v="23481.33"/>
    <n v="10"/>
    <s v="Москва"/>
    <n v="234813.3"/>
    <s v="2023-07"/>
    <n v="732"/>
  </r>
  <r>
    <n v="1182"/>
    <d v="2023-07-10T00:00:00"/>
    <s v="Одежда"/>
    <s v="Футболка"/>
    <n v="105544.43"/>
    <n v="3"/>
    <s v="Новосибирск"/>
    <n v="316633.29"/>
    <s v="2023-07"/>
    <n v="617"/>
  </r>
  <r>
    <n v="84"/>
    <d v="2023-07-11T00:00:00"/>
    <s v="Товары для дома"/>
    <s v="Полотенце"/>
    <n v="47109.14"/>
    <n v="8"/>
    <s v="Москва"/>
    <n v="376873.12"/>
    <s v="2023-07"/>
    <n v="552"/>
  </r>
  <r>
    <n v="619"/>
    <d v="2023-07-11T00:00:00"/>
    <s v="Продукты"/>
    <s v="Хлеб"/>
    <n v="81563.36"/>
    <n v="9"/>
    <s v="Санкт‑Петербург"/>
    <n v="734070.24"/>
    <s v="2023-07"/>
    <n v="237"/>
  </r>
  <r>
    <n v="2"/>
    <d v="2023-07-12T00:00:00"/>
    <s v="Электроника"/>
    <s v="Наушники"/>
    <n v="141564.13"/>
    <n v="9"/>
    <s v="Екатеринбург"/>
    <n v="1274077.17"/>
    <s v="2023-07"/>
    <n v="22"/>
  </r>
  <r>
    <n v="425"/>
    <d v="2023-07-12T00:00:00"/>
    <s v="Электроника"/>
    <s v="Смартфон"/>
    <n v="37869.64"/>
    <n v="7"/>
    <s v="Санкт‑Петербург"/>
    <n v="265087.48"/>
    <s v="2023-07"/>
    <n v="675"/>
  </r>
  <r>
    <n v="800"/>
    <d v="2023-07-12T00:00:00"/>
    <s v="Электроника"/>
    <s v="Наушники"/>
    <n v="124780.94"/>
    <n v="5"/>
    <s v="Екатеринбург"/>
    <n v="623904.7"/>
    <s v="2023-07"/>
    <n v="306"/>
  </r>
  <r>
    <n v="866"/>
    <d v="2023-07-12T00:00:00"/>
    <s v="Одежда"/>
    <s v="Куртка"/>
    <n v="101648.75"/>
    <n v="7"/>
    <s v="Новосибирск"/>
    <n v="711541.25"/>
    <s v="2023-07"/>
    <n v="256"/>
  </r>
  <r>
    <n v="1155"/>
    <d v="2023-07-12T00:00:00"/>
    <s v="Одежда"/>
    <s v="Футболка"/>
    <n v="26727.2"/>
    <n v="8"/>
    <s v="Казань"/>
    <n v="213817.6"/>
    <s v="2023-07"/>
    <n v="769"/>
  </r>
  <r>
    <n v="1080"/>
    <d v="2023-07-13T00:00:00"/>
    <s v="Одежда"/>
    <s v="Джинсы"/>
    <n v="47604.93"/>
    <n v="5"/>
    <s v="Казань"/>
    <n v="238024.65"/>
    <s v="2023-07"/>
    <n v="726"/>
  </r>
  <r>
    <n v="196"/>
    <d v="2023-07-14T00:00:00"/>
    <s v="Товары для дома"/>
    <s v="Кружка"/>
    <n v="39983.63"/>
    <n v="10"/>
    <s v="Казань"/>
    <n v="399836.3"/>
    <s v="2023-07"/>
    <n v="517"/>
  </r>
  <r>
    <n v="391"/>
    <d v="2023-07-14T00:00:00"/>
    <s v="Электроника"/>
    <s v="Ноутбук"/>
    <n v="103783.64"/>
    <n v="1"/>
    <s v="Московская область"/>
    <n v="103783.64"/>
    <s v="2023-07"/>
    <n v="964"/>
  </r>
  <r>
    <n v="41"/>
    <d v="2023-07-15T00:00:00"/>
    <s v="Товары для дома"/>
    <s v="Полотенце"/>
    <n v="49483.89"/>
    <n v="9"/>
    <s v="Екатеринбург"/>
    <n v="445355.01"/>
    <s v="2023-07"/>
    <n v="458"/>
  </r>
  <r>
    <n v="578"/>
    <d v="2023-07-15T00:00:00"/>
    <s v="Товары для дома"/>
    <s v="Полотенце"/>
    <n v="34836.42"/>
    <n v="1"/>
    <s v="Новосибирск"/>
    <n v="34836.42"/>
    <s v="2023-07"/>
    <n v="1112"/>
  </r>
  <r>
    <n v="999"/>
    <d v="2023-07-15T00:00:00"/>
    <s v="Продукты"/>
    <s v="Кофе"/>
    <n v="100463.62"/>
    <n v="7"/>
    <s v="Санкт‑Петербург"/>
    <n v="703245.34"/>
    <s v="2023-07"/>
    <n v="261"/>
  </r>
  <r>
    <n v="78"/>
    <d v="2023-07-16T00:00:00"/>
    <s v="Товары для дома"/>
    <s v="Подушка"/>
    <n v="11050.22"/>
    <n v="10"/>
    <s v="Московская область"/>
    <n v="110502.2"/>
    <s v="2023-07"/>
    <n v="950"/>
  </r>
  <r>
    <n v="89"/>
    <d v="2023-07-16T00:00:00"/>
    <s v="Продукты"/>
    <s v="Шоколад"/>
    <n v="73082.8"/>
    <n v="1"/>
    <s v="Новосибирск"/>
    <n v="73082.8"/>
    <s v="2023-07"/>
    <n v="1032"/>
  </r>
  <r>
    <n v="239"/>
    <d v="2023-07-16T00:00:00"/>
    <s v="Электроника"/>
    <s v="Смартфон"/>
    <n v="100344.88"/>
    <n v="9"/>
    <s v="Казань"/>
    <n v="903103.92"/>
    <s v="2023-07"/>
    <n v="134"/>
  </r>
  <r>
    <n v="990"/>
    <d v="2023-07-16T00:00:00"/>
    <s v="Электроника"/>
    <s v="Планшет"/>
    <n v="74341.8"/>
    <n v="4"/>
    <s v="Москва"/>
    <n v="297367.2"/>
    <s v="2023-07"/>
    <n v="636"/>
  </r>
  <r>
    <n v="124"/>
    <d v="2023-07-17T00:00:00"/>
    <s v="Товары для дома"/>
    <s v="Плед"/>
    <n v="75654.7"/>
    <n v="5"/>
    <s v="Казань"/>
    <n v="378273.5"/>
    <s v="2023-07"/>
    <n v="551"/>
  </r>
  <r>
    <n v="336"/>
    <d v="2023-07-17T00:00:00"/>
    <s v="Продукты"/>
    <s v="Шоколад"/>
    <n v="19796.99"/>
    <n v="1"/>
    <s v="Москва"/>
    <n v="19796.99"/>
    <s v="2023-07"/>
    <n v="1154"/>
  </r>
  <r>
    <n v="580"/>
    <d v="2023-07-17T00:00:00"/>
    <s v="Продукты"/>
    <s v="Шоколад"/>
    <n v="95390.23"/>
    <n v="10"/>
    <s v="Москва"/>
    <n v="953902.3"/>
    <s v="2023-07"/>
    <n v="108"/>
  </r>
  <r>
    <n v="880"/>
    <d v="2023-07-17T00:00:00"/>
    <s v="Продукты"/>
    <s v="Хлеб"/>
    <n v="76561.71"/>
    <n v="7"/>
    <s v="Новосибирск"/>
    <n v="535931.97"/>
    <s v="2023-07"/>
    <n v="381"/>
  </r>
  <r>
    <n v="12"/>
    <d v="2023-07-18T00:00:00"/>
    <s v="Продукты"/>
    <s v="Шоколад"/>
    <n v="131229.66"/>
    <n v="3"/>
    <s v="Новосибирск"/>
    <n v="393688.98"/>
    <s v="2023-07"/>
    <n v="529"/>
  </r>
  <r>
    <n v="907"/>
    <d v="2023-07-18T00:00:00"/>
    <s v="Одежда"/>
    <s v="Куртка"/>
    <n v="107787.07"/>
    <n v="4"/>
    <s v="Казань"/>
    <n v="431148.28"/>
    <s v="2023-07"/>
    <n v="480"/>
  </r>
  <r>
    <n v="1088"/>
    <d v="2023-07-18T00:00:00"/>
    <s v="Товары для дома"/>
    <s v="Подушка"/>
    <n v="22056.47"/>
    <n v="9"/>
    <s v="Казань"/>
    <n v="198508.23"/>
    <s v="2023-07"/>
    <n v="787"/>
  </r>
  <r>
    <n v="1172"/>
    <d v="2023-07-18T00:00:00"/>
    <s v="Электроника"/>
    <s v="Планшет"/>
    <n v="8506.11"/>
    <n v="1"/>
    <s v="Московская область"/>
    <n v="8506.11"/>
    <s v="2023-07"/>
    <n v="1186"/>
  </r>
  <r>
    <n v="152"/>
    <d v="2023-07-19T00:00:00"/>
    <s v="Электроника"/>
    <s v="Смартфон"/>
    <n v="38721.93"/>
    <n v="4"/>
    <s v="Казань"/>
    <n v="154887.72"/>
    <s v="2023-07"/>
    <n v="845"/>
  </r>
  <r>
    <n v="738"/>
    <d v="2023-07-19T00:00:00"/>
    <s v="Товары для дома"/>
    <s v="Подушка"/>
    <n v="147713.65"/>
    <n v="1"/>
    <s v="Новосибирск"/>
    <n v="147713.65"/>
    <s v="2023-07"/>
    <n v="856"/>
  </r>
  <r>
    <n v="807"/>
    <d v="2023-07-19T00:00:00"/>
    <s v="Продукты"/>
    <s v="Шоколад"/>
    <n v="108416.47"/>
    <n v="9"/>
    <s v="Московская область"/>
    <n v="975748.23"/>
    <s v="2023-07"/>
    <n v="99"/>
  </r>
  <r>
    <n v="341"/>
    <d v="2023-07-20T00:00:00"/>
    <s v="Электроника"/>
    <s v="Наушники"/>
    <n v="14923.77"/>
    <n v="9"/>
    <s v="Екатеринбург"/>
    <n v="134313.93"/>
    <s v="2023-07"/>
    <n v="894"/>
  </r>
  <r>
    <n v="869"/>
    <d v="2023-07-20T00:00:00"/>
    <s v="Товары для дома"/>
    <s v="Кружка"/>
    <n v="63142.3"/>
    <n v="6"/>
    <s v="Казань"/>
    <n v="378853.8"/>
    <s v="2023-07"/>
    <n v="549"/>
  </r>
  <r>
    <n v="906"/>
    <d v="2023-07-21T00:00:00"/>
    <s v="Продукты"/>
    <s v="Хлеб"/>
    <n v="117667.42"/>
    <n v="1"/>
    <s v="Екатеринбург"/>
    <n v="117667.42"/>
    <s v="2023-07"/>
    <n v="933"/>
  </r>
  <r>
    <n v="1074"/>
    <d v="2023-07-21T00:00:00"/>
    <s v="Одежда"/>
    <s v="Кроссовки"/>
    <n v="62621.9"/>
    <n v="4"/>
    <s v="Казань"/>
    <n v="250487.6"/>
    <s v="2023-07"/>
    <n v="703"/>
  </r>
  <r>
    <n v="515"/>
    <d v="2023-07-22T00:00:00"/>
    <s v="Продукты"/>
    <s v="Молоко"/>
    <n v="118600.53"/>
    <n v="10"/>
    <s v="Москва"/>
    <n v="1186005.3"/>
    <s v="2023-07"/>
    <n v="37"/>
  </r>
  <r>
    <n v="735"/>
    <d v="2023-07-22T00:00:00"/>
    <s v="Продукты"/>
    <s v="Кофе"/>
    <n v="146312.53"/>
    <n v="5"/>
    <s v="Московская область"/>
    <n v="731562.65"/>
    <s v="2023-07"/>
    <n v="241"/>
  </r>
  <r>
    <n v="25"/>
    <d v="2023-07-23T00:00:00"/>
    <s v="Продукты"/>
    <s v="Кофе"/>
    <n v="11517"/>
    <n v="1"/>
    <s v="Екатеринбург"/>
    <n v="11517"/>
    <s v="2023-07"/>
    <n v="1181"/>
  </r>
  <r>
    <n v="38"/>
    <d v="2023-07-23T00:00:00"/>
    <s v="Продукты"/>
    <s v="Молоко"/>
    <n v="128706.19"/>
    <n v="9"/>
    <s v="Московская область"/>
    <n v="1158355.71"/>
    <s v="2023-07"/>
    <n v="42"/>
  </r>
  <r>
    <n v="970"/>
    <d v="2023-07-23T00:00:00"/>
    <s v="Одежда"/>
    <s v="Куртка"/>
    <n v="23131.59"/>
    <n v="4"/>
    <s v="Новосибирск"/>
    <n v="92526.36"/>
    <s v="2023-07"/>
    <n v="984"/>
  </r>
  <r>
    <n v="1067"/>
    <d v="2023-07-23T00:00:00"/>
    <s v="Одежда"/>
    <s v="Футболка"/>
    <n v="61266.32"/>
    <n v="6"/>
    <s v="Казань"/>
    <n v="367597.92"/>
    <s v="2023-07"/>
    <n v="563"/>
  </r>
  <r>
    <n v="265"/>
    <d v="2023-07-24T00:00:00"/>
    <s v="Одежда"/>
    <s v="Джинсы"/>
    <n v="84272.71"/>
    <n v="7"/>
    <s v="Санкт‑Петербург"/>
    <n v="589908.97"/>
    <s v="2023-07"/>
    <n v="326"/>
  </r>
  <r>
    <n v="309"/>
    <d v="2023-07-24T00:00:00"/>
    <s v="Одежда"/>
    <s v="Куртка"/>
    <n v="147952.74"/>
    <n v="1"/>
    <s v="Новосибирск"/>
    <n v="147952.74"/>
    <s v="2023-07"/>
    <n v="854"/>
  </r>
  <r>
    <n v="977"/>
    <d v="2023-07-24T00:00:00"/>
    <s v="Продукты"/>
    <s v="Шоколад"/>
    <n v="112730.15"/>
    <n v="5"/>
    <s v="Москва"/>
    <n v="563650.75"/>
    <s v="2023-07"/>
    <n v="357"/>
  </r>
  <r>
    <n v="1103"/>
    <d v="2023-07-24T00:00:00"/>
    <s v="Одежда"/>
    <s v="Куртка"/>
    <n v="131001.74"/>
    <n v="4"/>
    <s v="Московская область"/>
    <n v="524006.96"/>
    <s v="2023-07"/>
    <n v="391"/>
  </r>
  <r>
    <n v="442"/>
    <d v="2023-07-25T00:00:00"/>
    <s v="Продукты"/>
    <s v="Шоколад"/>
    <n v="103751.4"/>
    <n v="1"/>
    <s v="Новосибирск"/>
    <n v="103751.4"/>
    <s v="2023-07"/>
    <n v="965"/>
  </r>
  <r>
    <n v="592"/>
    <d v="2023-07-25T00:00:00"/>
    <s v="Товары для дома"/>
    <s v="Полотенце"/>
    <n v="28503.81"/>
    <n v="2"/>
    <s v="Екатеринбург"/>
    <n v="57007.62"/>
    <s v="2023-07"/>
    <n v="1070"/>
  </r>
  <r>
    <n v="938"/>
    <d v="2023-07-25T00:00:00"/>
    <s v="Одежда"/>
    <s v="Футболка"/>
    <n v="61849.39"/>
    <n v="8"/>
    <s v="Екатеринбург"/>
    <n v="494795.12"/>
    <s v="2023-07"/>
    <n v="415"/>
  </r>
  <r>
    <n v="1141"/>
    <d v="2023-07-25T00:00:00"/>
    <s v="Продукты"/>
    <s v="Хлеб"/>
    <n v="60182.22"/>
    <n v="2"/>
    <s v="Москва"/>
    <n v="120364.44"/>
    <s v="2023-07"/>
    <n v="924"/>
  </r>
  <r>
    <n v="115"/>
    <d v="2023-07-26T00:00:00"/>
    <s v="Продукты"/>
    <s v="Кофе"/>
    <n v="41982.03"/>
    <n v="10"/>
    <s v="Московская область"/>
    <n v="419820.3"/>
    <s v="2023-07"/>
    <n v="495"/>
  </r>
  <r>
    <n v="191"/>
    <d v="2023-07-26T00:00:00"/>
    <s v="Электроника"/>
    <s v="Планшет"/>
    <n v="29816.82"/>
    <n v="10"/>
    <s v="Санкт‑Петербург"/>
    <n v="298168.2"/>
    <s v="2023-07"/>
    <n v="635"/>
  </r>
  <r>
    <n v="393"/>
    <d v="2023-07-26T00:00:00"/>
    <s v="Товары для дома"/>
    <s v="Полотенце"/>
    <n v="36854.11"/>
    <n v="6"/>
    <s v="Москва"/>
    <n v="221124.66"/>
    <s v="2023-07"/>
    <n v="752"/>
  </r>
  <r>
    <n v="249"/>
    <d v="2023-07-27T00:00:00"/>
    <s v="Продукты"/>
    <s v="Шоколад"/>
    <n v="114091.17"/>
    <n v="5"/>
    <s v="Санкт‑Петербург"/>
    <n v="570455.85"/>
    <s v="2023-07"/>
    <n v="350"/>
  </r>
  <r>
    <n v="508"/>
    <d v="2023-07-27T00:00:00"/>
    <s v="Продукты"/>
    <s v="Молоко"/>
    <n v="68754.36"/>
    <n v="2"/>
    <s v="Московская область"/>
    <n v="137508.72"/>
    <s v="2023-07"/>
    <n v="886"/>
  </r>
  <r>
    <n v="1043"/>
    <d v="2023-07-27T00:00:00"/>
    <s v="Продукты"/>
    <s v="Кофе"/>
    <n v="83972.74"/>
    <n v="9"/>
    <s v="Москва"/>
    <n v="755754.66"/>
    <s v="2023-07"/>
    <n v="223"/>
  </r>
  <r>
    <n v="1180"/>
    <d v="2023-07-27T00:00:00"/>
    <s v="Товары для дома"/>
    <s v="Кружка"/>
    <n v="52954.78"/>
    <n v="4"/>
    <s v="Казань"/>
    <n v="211819.12"/>
    <s v="2023-07"/>
    <n v="774"/>
  </r>
  <r>
    <n v="158"/>
    <d v="2023-07-28T00:00:00"/>
    <s v="Продукты"/>
    <s v="Молоко"/>
    <n v="110621.17"/>
    <n v="7"/>
    <s v="Казань"/>
    <n v="774348.19"/>
    <s v="2023-07"/>
    <n v="210"/>
  </r>
  <r>
    <n v="477"/>
    <d v="2023-07-28T00:00:00"/>
    <s v="Электроника"/>
    <s v="Ноутбук"/>
    <n v="73903.37"/>
    <n v="7"/>
    <s v="Новосибирск"/>
    <n v="517323.59"/>
    <s v="2023-07"/>
    <n v="394"/>
  </r>
  <r>
    <n v="899"/>
    <d v="2023-07-28T00:00:00"/>
    <s v="Товары для дома"/>
    <s v="Полотенце"/>
    <n v="71819.98"/>
    <n v="8"/>
    <s v="Новосибирск"/>
    <n v="574559.84"/>
    <s v="2023-07"/>
    <n v="340"/>
  </r>
  <r>
    <n v="927"/>
    <d v="2023-07-28T00:00:00"/>
    <s v="Товары для дома"/>
    <s v="Подушка"/>
    <n v="62799.69"/>
    <n v="6"/>
    <s v="Новосибирск"/>
    <n v="376798.14"/>
    <s v="2023-07"/>
    <n v="553"/>
  </r>
  <r>
    <n v="1104"/>
    <d v="2023-07-28T00:00:00"/>
    <s v="Электроника"/>
    <s v="Наушники"/>
    <n v="21649.27"/>
    <n v="3"/>
    <s v="Екатеринбург"/>
    <n v="64947.81"/>
    <s v="2023-07"/>
    <n v="1045"/>
  </r>
  <r>
    <n v="170"/>
    <d v="2023-07-29T00:00:00"/>
    <s v="Продукты"/>
    <s v="Молоко"/>
    <n v="7795.96"/>
    <n v="4"/>
    <s v="Московская область"/>
    <n v="31183.84"/>
    <s v="2023-07"/>
    <n v="1124"/>
  </r>
  <r>
    <n v="943"/>
    <d v="2023-07-29T00:00:00"/>
    <s v="Продукты"/>
    <s v="Молоко"/>
    <n v="16067.1"/>
    <n v="5"/>
    <s v="Московская область"/>
    <n v="80335.5"/>
    <s v="2023-07"/>
    <n v="1014"/>
  </r>
  <r>
    <n v="957"/>
    <d v="2023-07-29T00:00:00"/>
    <s v="Электроника"/>
    <s v="Планшет"/>
    <n v="27519.52"/>
    <n v="8"/>
    <s v="Екатеринбург"/>
    <n v="220156.16"/>
    <s v="2023-07"/>
    <n v="756"/>
  </r>
  <r>
    <n v="1069"/>
    <d v="2023-07-29T00:00:00"/>
    <s v="Одежда"/>
    <s v="Куртка"/>
    <n v="85043.19"/>
    <n v="8"/>
    <s v="Казань"/>
    <n v="680345.52"/>
    <s v="2023-07"/>
    <n v="278"/>
  </r>
  <r>
    <n v="841"/>
    <d v="2023-07-30T00:00:00"/>
    <s v="Одежда"/>
    <s v="Джинсы"/>
    <n v="16012.27"/>
    <n v="3"/>
    <s v="Екатеринбург"/>
    <n v="48036.81"/>
    <s v="2023-07"/>
    <n v="1090"/>
  </r>
  <r>
    <n v="279"/>
    <d v="2023-07-31T00:00:00"/>
    <s v="Одежда"/>
    <s v="Куртка"/>
    <n v="119331"/>
    <n v="7"/>
    <s v="Новосибирск"/>
    <n v="835317"/>
    <s v="2023-07"/>
    <n v="174"/>
  </r>
  <r>
    <n v="480"/>
    <d v="2023-07-31T00:00:00"/>
    <s v="Продукты"/>
    <s v="Молоко"/>
    <n v="88858.27"/>
    <n v="8"/>
    <s v="Москва"/>
    <n v="710866.16"/>
    <s v="2023-07"/>
    <n v="259"/>
  </r>
  <r>
    <n v="110"/>
    <d v="2023-08-01T00:00:00"/>
    <s v="Электроника"/>
    <s v="Смартфон"/>
    <n v="147425.43"/>
    <n v="5"/>
    <s v="Казань"/>
    <n v="737127.15"/>
    <s v="2023-08"/>
    <n v="233"/>
  </r>
  <r>
    <n v="688"/>
    <d v="2023-08-01T00:00:00"/>
    <s v="Одежда"/>
    <s v="Футболка"/>
    <n v="13480.35"/>
    <n v="5"/>
    <s v="Новосибирск"/>
    <n v="67401.75"/>
    <s v="2023-08"/>
    <n v="1040"/>
  </r>
  <r>
    <n v="917"/>
    <d v="2023-08-01T00:00:00"/>
    <s v="Одежда"/>
    <s v="Кроссовки"/>
    <n v="27851.02"/>
    <n v="3"/>
    <s v="Казань"/>
    <n v="83553.06"/>
    <s v="2023-08"/>
    <n v="1006"/>
  </r>
  <r>
    <n v="352"/>
    <d v="2023-08-02T00:00:00"/>
    <s v="Продукты"/>
    <s v="Кофе"/>
    <n v="128693.33"/>
    <n v="10"/>
    <s v="Казань"/>
    <n v="1286933.3"/>
    <s v="2023-08"/>
    <n v="19"/>
  </r>
  <r>
    <n v="481"/>
    <d v="2023-08-02T00:00:00"/>
    <s v="Товары для дома"/>
    <s v="Кружка"/>
    <n v="30627"/>
    <n v="4"/>
    <s v="Екатеринбург"/>
    <n v="122508"/>
    <s v="2023-08"/>
    <n v="922"/>
  </r>
  <r>
    <n v="643"/>
    <d v="2023-08-02T00:00:00"/>
    <s v="Одежда"/>
    <s v="Футболка"/>
    <n v="5693.01"/>
    <n v="7"/>
    <s v="Новосибирск"/>
    <n v="39851.07"/>
    <s v="2023-08"/>
    <n v="1105"/>
  </r>
  <r>
    <n v="730"/>
    <d v="2023-08-02T00:00:00"/>
    <s v="Одежда"/>
    <s v="Куртка"/>
    <n v="54798.63"/>
    <n v="4"/>
    <s v="Москва"/>
    <n v="219194.52"/>
    <s v="2023-08"/>
    <n v="759"/>
  </r>
  <r>
    <n v="949"/>
    <d v="2023-08-02T00:00:00"/>
    <s v="Продукты"/>
    <s v="Кофе"/>
    <n v="137751.35"/>
    <n v="2"/>
    <s v="Новосибирск"/>
    <n v="275502.7"/>
    <s v="2023-08"/>
    <n v="662"/>
  </r>
  <r>
    <n v="695"/>
    <d v="2023-08-03T00:00:00"/>
    <s v="Одежда"/>
    <s v="Футболка"/>
    <n v="28936.61"/>
    <n v="4"/>
    <s v="Санкт‑Петербург"/>
    <n v="115746.44"/>
    <s v="2023-08"/>
    <n v="938"/>
  </r>
  <r>
    <n v="668"/>
    <d v="2023-08-04T00:00:00"/>
    <s v="Товары для дома"/>
    <s v="Кружка"/>
    <n v="132962.48"/>
    <n v="1"/>
    <s v="Казань"/>
    <n v="132962.48"/>
    <s v="2023-08"/>
    <n v="897"/>
  </r>
  <r>
    <n v="868"/>
    <d v="2023-08-04T00:00:00"/>
    <s v="Товары для дома"/>
    <s v="Подушка"/>
    <n v="45334.84"/>
    <n v="8"/>
    <s v="Новосибирск"/>
    <n v="362678.72"/>
    <s v="2023-08"/>
    <n v="570"/>
  </r>
  <r>
    <n v="216"/>
    <d v="2023-08-05T00:00:00"/>
    <s v="Электроника"/>
    <s v="Планшет"/>
    <n v="80273.37"/>
    <n v="3"/>
    <s v="Санкт‑Петербург"/>
    <n v="240820.11"/>
    <s v="2023-08"/>
    <n v="720"/>
  </r>
  <r>
    <n v="536"/>
    <d v="2023-08-05T00:00:00"/>
    <s v="Одежда"/>
    <s v="Куртка"/>
    <n v="48285.78"/>
    <n v="8"/>
    <s v="Казань"/>
    <n v="386286.24"/>
    <s v="2023-08"/>
    <n v="542"/>
  </r>
  <r>
    <n v="1145"/>
    <d v="2023-08-05T00:00:00"/>
    <s v="Продукты"/>
    <s v="Шоколад"/>
    <n v="116785.56"/>
    <n v="4"/>
    <s v="Московская область"/>
    <n v="467142.24"/>
    <s v="2023-08"/>
    <n v="437"/>
  </r>
  <r>
    <n v="294"/>
    <d v="2023-08-06T00:00:00"/>
    <s v="Электроника"/>
    <s v="Ноутбук"/>
    <n v="145709.4"/>
    <n v="6"/>
    <s v="Новосибирск"/>
    <n v="874256.4"/>
    <s v="2023-08"/>
    <n v="146"/>
  </r>
  <r>
    <n v="351"/>
    <d v="2023-08-06T00:00:00"/>
    <s v="Товары для дома"/>
    <s v="Кружка"/>
    <n v="29664.45"/>
    <n v="1"/>
    <s v="Московская область"/>
    <n v="29664.45"/>
    <s v="2023-08"/>
    <n v="1128"/>
  </r>
  <r>
    <n v="538"/>
    <d v="2023-08-06T00:00:00"/>
    <s v="Одежда"/>
    <s v="Джинсы"/>
    <n v="56185.69"/>
    <n v="8"/>
    <s v="Екатеринбург"/>
    <n v="449485.52"/>
    <s v="2023-08"/>
    <n v="453"/>
  </r>
  <r>
    <n v="966"/>
    <d v="2023-08-06T00:00:00"/>
    <s v="Одежда"/>
    <s v="Джинсы"/>
    <n v="41880.21"/>
    <n v="4"/>
    <s v="Москва"/>
    <n v="167520.84"/>
    <s v="2023-08"/>
    <n v="827"/>
  </r>
  <r>
    <n v="985"/>
    <d v="2023-08-06T00:00:00"/>
    <s v="Продукты"/>
    <s v="Молоко"/>
    <n v="89406.79"/>
    <n v="9"/>
    <s v="Москва"/>
    <n v="804661.11"/>
    <s v="2023-08"/>
    <n v="192"/>
  </r>
  <r>
    <n v="772"/>
    <d v="2023-08-07T00:00:00"/>
    <s v="Электроника"/>
    <s v="Смартфон"/>
    <n v="41195.04"/>
    <n v="3"/>
    <s v="Московская область"/>
    <n v="123585.12"/>
    <s v="2023-08"/>
    <n v="918"/>
  </r>
  <r>
    <n v="66"/>
    <d v="2023-08-08T00:00:00"/>
    <s v="Товары для дома"/>
    <s v="Подушка"/>
    <n v="29272.35"/>
    <n v="5"/>
    <s v="Казань"/>
    <n v="146361.75"/>
    <s v="2023-08"/>
    <n v="862"/>
  </r>
  <r>
    <n v="548"/>
    <d v="2023-08-08T00:00:00"/>
    <s v="Одежда"/>
    <s v="Джинсы"/>
    <n v="82000.31"/>
    <n v="3"/>
    <s v="Екатеринбург"/>
    <n v="246000.93"/>
    <s v="2023-08"/>
    <n v="709"/>
  </r>
  <r>
    <n v="601"/>
    <d v="2023-08-08T00:00:00"/>
    <s v="Товары для дома"/>
    <s v="Подушка"/>
    <n v="142444.69"/>
    <n v="6"/>
    <s v="Московская область"/>
    <n v="854668.14"/>
    <s v="2023-08"/>
    <n v="162"/>
  </r>
  <r>
    <n v="750"/>
    <d v="2023-08-08T00:00:00"/>
    <s v="Продукты"/>
    <s v="Кофе"/>
    <n v="66613.58"/>
    <n v="5"/>
    <s v="Санкт‑Петербург"/>
    <n v="333067.9"/>
    <s v="2023-08"/>
    <n v="597"/>
  </r>
  <r>
    <n v="836"/>
    <d v="2023-08-08T00:00:00"/>
    <s v="Товары для дома"/>
    <s v="Кружка"/>
    <n v="138433.73"/>
    <n v="3"/>
    <s v="Санкт‑Петербург"/>
    <n v="415301.19"/>
    <s v="2023-08"/>
    <n v="500"/>
  </r>
  <r>
    <n v="147"/>
    <d v="2023-08-09T00:00:00"/>
    <s v="Товары для дома"/>
    <s v="Полотенце"/>
    <n v="96195.73"/>
    <n v="8"/>
    <s v="Екатеринбург"/>
    <n v="769565.84"/>
    <s v="2023-08"/>
    <n v="218"/>
  </r>
  <r>
    <n v="433"/>
    <d v="2023-08-09T00:00:00"/>
    <s v="Электроника"/>
    <s v="Ноутбук"/>
    <n v="117916.68"/>
    <n v="2"/>
    <s v="Новосибирск"/>
    <n v="235833.36"/>
    <s v="2023-08"/>
    <n v="730"/>
  </r>
  <r>
    <n v="981"/>
    <d v="2023-08-09T00:00:00"/>
    <s v="Одежда"/>
    <s v="Футболка"/>
    <n v="137704.42"/>
    <n v="1"/>
    <s v="Санкт‑Петербург"/>
    <n v="137704.42"/>
    <s v="2023-08"/>
    <n v="885"/>
  </r>
  <r>
    <n v="1129"/>
    <d v="2023-08-09T00:00:00"/>
    <s v="Товары для дома"/>
    <s v="Полотенце"/>
    <n v="28885.71"/>
    <n v="1"/>
    <s v="Москва"/>
    <n v="28885.71"/>
    <s v="2023-08"/>
    <n v="1132"/>
  </r>
  <r>
    <n v="790"/>
    <d v="2023-08-10T00:00:00"/>
    <s v="Продукты"/>
    <s v="Хлеб"/>
    <n v="106226.45"/>
    <n v="8"/>
    <s v="Казань"/>
    <n v="849811.6"/>
    <s v="2023-08"/>
    <n v="166"/>
  </r>
  <r>
    <n v="911"/>
    <d v="2023-08-10T00:00:00"/>
    <s v="Одежда"/>
    <s v="Куртка"/>
    <n v="17003.13"/>
    <n v="9"/>
    <s v="Москва"/>
    <n v="153028.17"/>
    <s v="2023-08"/>
    <n v="849"/>
  </r>
  <r>
    <n v="1068"/>
    <d v="2023-08-10T00:00:00"/>
    <s v="Продукты"/>
    <s v="Шоколад"/>
    <n v="116809.63"/>
    <n v="7"/>
    <s v="Екатеринбург"/>
    <n v="817667.41"/>
    <s v="2023-08"/>
    <n v="183"/>
  </r>
  <r>
    <n v="154"/>
    <d v="2023-08-11T00:00:00"/>
    <s v="Электроника"/>
    <s v="Планшет"/>
    <n v="8105.83"/>
    <n v="2"/>
    <s v="Москва"/>
    <n v="16211.66"/>
    <s v="2023-08"/>
    <n v="1164"/>
  </r>
  <r>
    <n v="159"/>
    <d v="2023-08-11T00:00:00"/>
    <s v="Продукты"/>
    <s v="Шоколад"/>
    <n v="118399.1"/>
    <n v="5"/>
    <s v="Московская область"/>
    <n v="591995.5"/>
    <s v="2023-08"/>
    <n v="324"/>
  </r>
  <r>
    <n v="473"/>
    <d v="2023-08-11T00:00:00"/>
    <s v="Товары для дома"/>
    <s v="Плед"/>
    <n v="108927.48"/>
    <n v="8"/>
    <s v="Екатеринбург"/>
    <n v="871419.84"/>
    <s v="2023-08"/>
    <n v="152"/>
  </r>
  <r>
    <n v="545"/>
    <d v="2023-08-11T00:00:00"/>
    <s v="Электроника"/>
    <s v="Наушники"/>
    <n v="1754.77"/>
    <n v="6"/>
    <s v="Москва"/>
    <n v="10528.62"/>
    <s v="2023-08"/>
    <n v="1183"/>
  </r>
  <r>
    <n v="898"/>
    <d v="2023-08-11T00:00:00"/>
    <s v="Одежда"/>
    <s v="Джинсы"/>
    <n v="41593.2"/>
    <n v="9"/>
    <s v="Екатеринбург"/>
    <n v="374338.8"/>
    <s v="2023-08"/>
    <n v="554"/>
  </r>
  <r>
    <n v="1171"/>
    <d v="2023-08-11T00:00:00"/>
    <s v="Электроника"/>
    <s v="Наушники"/>
    <n v="59755.12"/>
    <n v="3"/>
    <s v="Казань"/>
    <n v="179265.36"/>
    <s v="2023-08"/>
    <n v="813"/>
  </r>
  <r>
    <n v="283"/>
    <d v="2023-08-12T00:00:00"/>
    <s v="Электроника"/>
    <s v="Планшет"/>
    <n v="103905.5"/>
    <n v="10"/>
    <s v="Новосибирск"/>
    <n v="1039055"/>
    <s v="2023-08"/>
    <n v="77"/>
  </r>
  <r>
    <n v="369"/>
    <d v="2023-08-12T00:00:00"/>
    <s v="Товары для дома"/>
    <s v="Плед"/>
    <n v="10833.39"/>
    <n v="3"/>
    <s v="Казань"/>
    <n v="32500.17"/>
    <s v="2023-08"/>
    <n v="1119"/>
  </r>
  <r>
    <n v="565"/>
    <d v="2023-08-12T00:00:00"/>
    <s v="Продукты"/>
    <s v="Хлеб"/>
    <n v="50781.25"/>
    <n v="2"/>
    <s v="Московская область"/>
    <n v="101562.5"/>
    <s v="2023-08"/>
    <n v="969"/>
  </r>
  <r>
    <n v="786"/>
    <d v="2023-08-12T00:00:00"/>
    <s v="Одежда"/>
    <s v="Куртка"/>
    <n v="56341.37"/>
    <n v="10"/>
    <s v="Санкт‑Петербург"/>
    <n v="563413.7"/>
    <s v="2023-08"/>
    <n v="358"/>
  </r>
  <r>
    <n v="963"/>
    <d v="2023-08-12T00:00:00"/>
    <s v="Одежда"/>
    <s v="Куртка"/>
    <n v="80751.61"/>
    <n v="5"/>
    <s v="Казань"/>
    <n v="403758.05"/>
    <s v="2023-08"/>
    <n v="511"/>
  </r>
  <r>
    <n v="491"/>
    <d v="2023-08-13T00:00:00"/>
    <s v="Товары для дома"/>
    <s v="Плед"/>
    <n v="128948.39"/>
    <n v="1"/>
    <s v="Казань"/>
    <n v="128948.39"/>
    <s v="2023-08"/>
    <n v="907"/>
  </r>
  <r>
    <n v="590"/>
    <d v="2023-08-13T00:00:00"/>
    <s v="Электроника"/>
    <s v="Планшет"/>
    <n v="66201.89"/>
    <n v="1"/>
    <s v="Московская область"/>
    <n v="66201.89"/>
    <s v="2023-08"/>
    <n v="1042"/>
  </r>
  <r>
    <n v="671"/>
    <d v="2023-08-13T00:00:00"/>
    <s v="Товары для дома"/>
    <s v="Полотенце"/>
    <n v="19120.19"/>
    <n v="9"/>
    <s v="Санкт‑Петербург"/>
    <n v="172081.71"/>
    <s v="2023-08"/>
    <n v="822"/>
  </r>
  <r>
    <n v="968"/>
    <d v="2023-08-13T00:00:00"/>
    <s v="Продукты"/>
    <s v="Шоколад"/>
    <n v="20942.72"/>
    <n v="1"/>
    <s v="Екатеринбург"/>
    <n v="20942.72"/>
    <s v="2023-08"/>
    <n v="1151"/>
  </r>
  <r>
    <n v="1031"/>
    <d v="2023-08-13T00:00:00"/>
    <s v="Товары для дома"/>
    <s v="Полотенце"/>
    <n v="142010.64"/>
    <n v="6"/>
    <s v="Санкт‑Петербург"/>
    <n v="852063.84"/>
    <s v="2023-08"/>
    <n v="164"/>
  </r>
  <r>
    <n v="55"/>
    <d v="2023-08-14T00:00:00"/>
    <s v="Одежда"/>
    <s v="Куртка"/>
    <n v="28143.56"/>
    <n v="10"/>
    <s v="Московская область"/>
    <n v="281435.6"/>
    <s v="2023-08"/>
    <n v="653"/>
  </r>
  <r>
    <n v="607"/>
    <d v="2023-08-14T00:00:00"/>
    <s v="Электроника"/>
    <s v="Ноутбук"/>
    <n v="142589.73"/>
    <n v="6"/>
    <s v="Новосибирск"/>
    <n v="855538.38"/>
    <s v="2023-08"/>
    <n v="161"/>
  </r>
  <r>
    <n v="863"/>
    <d v="2023-08-14T00:00:00"/>
    <s v="Товары для дома"/>
    <s v="Плед"/>
    <n v="1092.72"/>
    <n v="5"/>
    <s v="Казань"/>
    <n v="5463.6"/>
    <s v="2023-08"/>
    <n v="1190"/>
  </r>
  <r>
    <n v="876"/>
    <d v="2023-08-14T00:00:00"/>
    <s v="Товары для дома"/>
    <s v="Кружка"/>
    <n v="13457.71"/>
    <n v="1"/>
    <s v="Санкт‑Петербург"/>
    <n v="13457.71"/>
    <s v="2023-08"/>
    <n v="1172"/>
  </r>
  <r>
    <n v="326"/>
    <d v="2023-08-15T00:00:00"/>
    <s v="Товары для дома"/>
    <s v="Подушка"/>
    <n v="62993.55"/>
    <n v="2"/>
    <s v="Санкт‑Петербург"/>
    <n v="125987.1"/>
    <s v="2023-08"/>
    <n v="913"/>
  </r>
  <r>
    <n v="475"/>
    <d v="2023-08-15T00:00:00"/>
    <s v="Электроника"/>
    <s v="Смартфон"/>
    <n v="19754.31"/>
    <n v="9"/>
    <s v="Москва"/>
    <n v="177788.79"/>
    <s v="2023-08"/>
    <n v="814"/>
  </r>
  <r>
    <n v="918"/>
    <d v="2023-08-15T00:00:00"/>
    <s v="Продукты"/>
    <s v="Кофе"/>
    <n v="97187.55"/>
    <n v="4"/>
    <s v="Новосибирск"/>
    <n v="388750.2"/>
    <s v="2023-08"/>
    <n v="538"/>
  </r>
  <r>
    <n v="996"/>
    <d v="2023-08-15T00:00:00"/>
    <s v="Электроника"/>
    <s v="Смартфон"/>
    <n v="51996.87"/>
    <n v="7"/>
    <s v="Санкт‑Петербург"/>
    <n v="363978.09"/>
    <s v="2023-08"/>
    <n v="567"/>
  </r>
  <r>
    <n v="353"/>
    <d v="2023-08-16T00:00:00"/>
    <s v="Одежда"/>
    <s v="Футболка"/>
    <n v="38571.1"/>
    <n v="9"/>
    <s v="Новосибирск"/>
    <n v="347139.9"/>
    <s v="2023-08"/>
    <n v="591"/>
  </r>
  <r>
    <n v="528"/>
    <d v="2023-08-16T00:00:00"/>
    <s v="Электроника"/>
    <s v="Смартфон"/>
    <n v="49640.22"/>
    <n v="1"/>
    <s v="Санкт‑Петербург"/>
    <n v="49640.22"/>
    <s v="2023-08"/>
    <n v="1087"/>
  </r>
  <r>
    <n v="974"/>
    <d v="2023-08-16T00:00:00"/>
    <s v="Продукты"/>
    <s v="Хлеб"/>
    <n v="63086.3"/>
    <n v="5"/>
    <s v="Москва"/>
    <n v="315431.5"/>
    <s v="2023-08"/>
    <n v="620"/>
  </r>
  <r>
    <n v="1120"/>
    <d v="2023-08-16T00:00:00"/>
    <s v="Продукты"/>
    <s v="Молоко"/>
    <n v="44670.64"/>
    <n v="7"/>
    <s v="Новосибирск"/>
    <n v="312694.48"/>
    <s v="2023-08"/>
    <n v="623"/>
  </r>
  <r>
    <n v="965"/>
    <d v="2023-08-17T00:00:00"/>
    <s v="Продукты"/>
    <s v="Кофе"/>
    <n v="107005.99"/>
    <n v="8"/>
    <s v="Казань"/>
    <n v="856047.92"/>
    <s v="2023-08"/>
    <n v="160"/>
  </r>
  <r>
    <n v="978"/>
    <d v="2023-08-17T00:00:00"/>
    <s v="Одежда"/>
    <s v="Футболка"/>
    <n v="12125.3"/>
    <n v="7"/>
    <s v="Санкт‑Петербург"/>
    <n v="84877.1"/>
    <s v="2023-08"/>
    <n v="1005"/>
  </r>
  <r>
    <n v="253"/>
    <d v="2023-08-18T00:00:00"/>
    <s v="Продукты"/>
    <s v="Молоко"/>
    <n v="119388.94"/>
    <n v="4"/>
    <s v="Московская область"/>
    <n v="477555.76"/>
    <s v="2023-08"/>
    <n v="428"/>
  </r>
  <r>
    <n v="405"/>
    <d v="2023-08-18T00:00:00"/>
    <s v="Продукты"/>
    <s v="Шоколад"/>
    <n v="77148.31"/>
    <n v="7"/>
    <s v="Казань"/>
    <n v="540038.17"/>
    <s v="2023-08"/>
    <n v="377"/>
  </r>
  <r>
    <n v="125"/>
    <d v="2023-08-19T00:00:00"/>
    <s v="Продукты"/>
    <s v="Кофе"/>
    <n v="101647.85"/>
    <n v="7"/>
    <s v="Санкт‑Петербург"/>
    <n v="711534.95"/>
    <s v="2023-08"/>
    <n v="257"/>
  </r>
  <r>
    <n v="323"/>
    <d v="2023-08-19T00:00:00"/>
    <s v="Продукты"/>
    <s v="Молоко"/>
    <n v="58759.57"/>
    <n v="9"/>
    <s v="Казань"/>
    <n v="528836.13"/>
    <s v="2023-08"/>
    <n v="387"/>
  </r>
  <r>
    <n v="117"/>
    <d v="2023-08-20T00:00:00"/>
    <s v="Одежда"/>
    <s v="Футболка"/>
    <n v="24566.59"/>
    <n v="6"/>
    <s v="Московская область"/>
    <n v="147399.54"/>
    <s v="2023-08"/>
    <n v="858"/>
  </r>
  <r>
    <n v="168"/>
    <d v="2023-08-20T00:00:00"/>
    <s v="Продукты"/>
    <s v="Шоколад"/>
    <n v="144445.78"/>
    <n v="9"/>
    <s v="Екатеринбург"/>
    <n v="1300012.02"/>
    <s v="2023-08"/>
    <n v="18"/>
  </r>
  <r>
    <n v="329"/>
    <d v="2023-08-20T00:00:00"/>
    <s v="Продукты"/>
    <s v="Молоко"/>
    <n v="36722.57"/>
    <n v="8"/>
    <s v="Новосибирск"/>
    <n v="293780.56"/>
    <s v="2023-08"/>
    <n v="640"/>
  </r>
  <r>
    <n v="563"/>
    <d v="2023-08-20T00:00:00"/>
    <s v="Одежда"/>
    <s v="Футболка"/>
    <n v="104343.92"/>
    <n v="4"/>
    <s v="Санкт‑Петербург"/>
    <n v="417375.68"/>
    <s v="2023-08"/>
    <n v="497"/>
  </r>
  <r>
    <n v="402"/>
    <d v="2023-08-21T00:00:00"/>
    <s v="Одежда"/>
    <s v="Куртка"/>
    <n v="76320.68"/>
    <n v="9"/>
    <s v="Екатеринбург"/>
    <n v="686886.12"/>
    <s v="2023-08"/>
    <n v="273"/>
  </r>
  <r>
    <n v="486"/>
    <d v="2023-08-21T00:00:00"/>
    <s v="Продукты"/>
    <s v="Хлеб"/>
    <n v="41746.3"/>
    <n v="6"/>
    <s v="Москва"/>
    <n v="250477.8"/>
    <s v="2023-08"/>
    <n v="704"/>
  </r>
  <r>
    <n v="37"/>
    <d v="2023-08-22T00:00:00"/>
    <s v="Одежда"/>
    <s v="Футболка"/>
    <n v="72725.28"/>
    <n v="2"/>
    <s v="Екатеринбург"/>
    <n v="145450.56"/>
    <s v="2023-08"/>
    <n v="865"/>
  </r>
  <r>
    <n v="47"/>
    <d v="2023-08-22T00:00:00"/>
    <s v="Товары для дома"/>
    <s v="Кружка"/>
    <n v="106444.09"/>
    <n v="6"/>
    <s v="Новосибирск"/>
    <n v="638664.54"/>
    <s v="2023-08"/>
    <n v="300"/>
  </r>
  <r>
    <n v="236"/>
    <d v="2023-08-22T00:00:00"/>
    <s v="Продукты"/>
    <s v="Кофе"/>
    <n v="105983.97"/>
    <n v="1"/>
    <s v="Казань"/>
    <n v="105983.97"/>
    <s v="2023-08"/>
    <n v="958"/>
  </r>
  <r>
    <n v="626"/>
    <d v="2023-08-23T00:00:00"/>
    <s v="Продукты"/>
    <s v="Кофе"/>
    <n v="142876.91"/>
    <n v="8"/>
    <s v="Казань"/>
    <n v="1143015.28"/>
    <s v="2023-08"/>
    <n v="49"/>
  </r>
  <r>
    <n v="669"/>
    <d v="2023-08-23T00:00:00"/>
    <s v="Товары для дома"/>
    <s v="Подушка"/>
    <n v="14693.78"/>
    <n v="7"/>
    <s v="Москва"/>
    <n v="102856.46"/>
    <s v="2023-08"/>
    <n v="966"/>
  </r>
  <r>
    <n v="776"/>
    <d v="2023-08-23T00:00:00"/>
    <s v="Товары для дома"/>
    <s v="Кружка"/>
    <n v="68980.98"/>
    <n v="6"/>
    <s v="Московская область"/>
    <n v="413885.88"/>
    <s v="2023-08"/>
    <n v="501"/>
  </r>
  <r>
    <n v="941"/>
    <d v="2023-08-23T00:00:00"/>
    <s v="Товары для дома"/>
    <s v="Плед"/>
    <n v="34164.02"/>
    <n v="3"/>
    <s v="Новосибирск"/>
    <n v="102492.06"/>
    <s v="2023-08"/>
    <n v="967"/>
  </r>
  <r>
    <n v="434"/>
    <d v="2023-08-24T00:00:00"/>
    <s v="Продукты"/>
    <s v="Кофе"/>
    <n v="11716.83"/>
    <n v="10"/>
    <s v="Москва"/>
    <n v="117168.3"/>
    <s v="2023-08"/>
    <n v="936"/>
  </r>
  <r>
    <n v="73"/>
    <d v="2023-08-25T00:00:00"/>
    <s v="Продукты"/>
    <s v="Кофе"/>
    <n v="54208.61"/>
    <n v="6"/>
    <s v="Казань"/>
    <n v="325251.66"/>
    <s v="2023-08"/>
    <n v="609"/>
  </r>
  <r>
    <n v="363"/>
    <d v="2023-08-25T00:00:00"/>
    <s v="Одежда"/>
    <s v="Кроссовки"/>
    <n v="40145.38"/>
    <n v="6"/>
    <s v="Санкт‑Петербург"/>
    <n v="240872.28"/>
    <s v="2023-08"/>
    <n v="719"/>
  </r>
  <r>
    <n v="184"/>
    <d v="2023-08-26T00:00:00"/>
    <s v="Продукты"/>
    <s v="Кофе"/>
    <n v="97867.96"/>
    <n v="10"/>
    <s v="Новосибирск"/>
    <n v="978679.6"/>
    <s v="2023-08"/>
    <n v="98"/>
  </r>
  <r>
    <n v="474"/>
    <d v="2023-08-26T00:00:00"/>
    <s v="Одежда"/>
    <s v="Футболка"/>
    <n v="106290.75"/>
    <n v="3"/>
    <s v="Санкт‑Петербург"/>
    <n v="318872.25"/>
    <s v="2023-08"/>
    <n v="616"/>
  </r>
  <r>
    <n v="145"/>
    <d v="2023-08-27T00:00:00"/>
    <s v="Одежда"/>
    <s v="Футболка"/>
    <n v="131387.64"/>
    <n v="10"/>
    <s v="Новосибирск"/>
    <n v="1313876.4"/>
    <s v="2023-08"/>
    <n v="15"/>
  </r>
  <r>
    <n v="585"/>
    <d v="2023-08-27T00:00:00"/>
    <s v="Электроника"/>
    <s v="Наушники"/>
    <n v="35823.22"/>
    <n v="8"/>
    <s v="Санкт‑Петербург"/>
    <n v="286585.76"/>
    <s v="2023-08"/>
    <n v="646"/>
  </r>
  <r>
    <n v="696"/>
    <d v="2023-08-27T00:00:00"/>
    <s v="Одежда"/>
    <s v="Куртка"/>
    <n v="142148.59"/>
    <n v="1"/>
    <s v="Новосибирск"/>
    <n v="142148.59"/>
    <s v="2023-08"/>
    <n v="873"/>
  </r>
  <r>
    <n v="921"/>
    <d v="2023-08-27T00:00:00"/>
    <s v="Товары для дома"/>
    <s v="Полотенце"/>
    <n v="73092.26"/>
    <n v="3"/>
    <s v="Новосибирск"/>
    <n v="219276.78"/>
    <s v="2023-08"/>
    <n v="757"/>
  </r>
  <r>
    <n v="54"/>
    <d v="2023-08-28T00:00:00"/>
    <s v="Одежда"/>
    <s v="Футболка"/>
    <n v="85266.12"/>
    <n v="4"/>
    <s v="Москва"/>
    <n v="341064.48"/>
    <s v="2023-08"/>
    <n v="594"/>
  </r>
  <r>
    <n v="783"/>
    <d v="2023-08-28T00:00:00"/>
    <s v="Продукты"/>
    <s v="Хлеб"/>
    <n v="139318.38"/>
    <n v="8"/>
    <s v="Новосибирск"/>
    <n v="1114547.04"/>
    <s v="2023-08"/>
    <n v="60"/>
  </r>
  <r>
    <n v="1081"/>
    <d v="2023-08-28T00:00:00"/>
    <s v="Продукты"/>
    <s v="Молоко"/>
    <n v="144298.42"/>
    <n v="1"/>
    <s v="Казань"/>
    <n v="144298.42"/>
    <s v="2023-08"/>
    <n v="867"/>
  </r>
  <r>
    <n v="1189"/>
    <d v="2023-08-28T00:00:00"/>
    <s v="Продукты"/>
    <s v="Кофе"/>
    <n v="65540.06"/>
    <n v="9"/>
    <s v="Санкт‑Петербург"/>
    <n v="589860.54"/>
    <s v="2023-08"/>
    <n v="327"/>
  </r>
  <r>
    <n v="795"/>
    <d v="2023-08-29T00:00:00"/>
    <s v="Одежда"/>
    <s v="Футболка"/>
    <n v="68733.11"/>
    <n v="4"/>
    <s v="Санкт‑Петербург"/>
    <n v="274932.44"/>
    <s v="2023-08"/>
    <n v="664"/>
  </r>
  <r>
    <n v="1097"/>
    <d v="2023-08-29T00:00:00"/>
    <s v="Продукты"/>
    <s v="Кофе"/>
    <n v="24453.14"/>
    <n v="8"/>
    <s v="Московская область"/>
    <n v="195625.12"/>
    <s v="2023-08"/>
    <n v="793"/>
  </r>
  <r>
    <n v="42"/>
    <d v="2023-08-30T00:00:00"/>
    <s v="Одежда"/>
    <s v="Джинсы"/>
    <n v="124745.81"/>
    <n v="6"/>
    <s v="Москва"/>
    <n v="748474.86"/>
    <s v="2023-08"/>
    <n v="229"/>
  </r>
  <r>
    <n v="288"/>
    <d v="2023-08-30T00:00:00"/>
    <s v="Товары для дома"/>
    <s v="Плед"/>
    <n v="143849.85"/>
    <n v="8"/>
    <s v="Новосибирск"/>
    <n v="1150798.8"/>
    <s v="2023-08"/>
    <n v="47"/>
  </r>
  <r>
    <n v="945"/>
    <d v="2023-08-30T00:00:00"/>
    <s v="Одежда"/>
    <s v="Футболка"/>
    <n v="91458.67"/>
    <n v="10"/>
    <s v="Казань"/>
    <n v="914586.7"/>
    <s v="2023-08"/>
    <n v="129"/>
  </r>
  <r>
    <n v="1111"/>
    <d v="2023-08-30T00:00:00"/>
    <s v="Одежда"/>
    <s v="Футболка"/>
    <n v="54353.92"/>
    <n v="9"/>
    <s v="Казань"/>
    <n v="489185.28"/>
    <s v="2023-08"/>
    <n v="422"/>
  </r>
  <r>
    <n v="318"/>
    <d v="2023-08-31T00:00:00"/>
    <s v="Продукты"/>
    <s v="Хлеб"/>
    <n v="106163.22"/>
    <n v="2"/>
    <s v="Новосибирск"/>
    <n v="212326.44"/>
    <s v="2023-08"/>
    <n v="772"/>
  </r>
  <r>
    <n v="362"/>
    <d v="2023-08-31T00:00:00"/>
    <s v="Продукты"/>
    <s v="Хлеб"/>
    <n v="51962.28"/>
    <n v="5"/>
    <s v="Санкт‑Петербург"/>
    <n v="259811.4"/>
    <s v="2023-08"/>
    <n v="685"/>
  </r>
  <r>
    <n v="367"/>
    <d v="2023-08-31T00:00:00"/>
    <s v="Продукты"/>
    <s v="Хлеб"/>
    <n v="2273.22"/>
    <n v="8"/>
    <s v="Москва"/>
    <n v="18185.76"/>
    <s v="2023-08"/>
    <n v="1158"/>
  </r>
  <r>
    <n v="964"/>
    <d v="2023-09-01T00:00:00"/>
    <s v="Одежда"/>
    <s v="Кроссовки"/>
    <n v="2630.26"/>
    <n v="6"/>
    <s v="Москва"/>
    <n v="15781.56"/>
    <s v="2023-09"/>
    <n v="1166"/>
  </r>
  <r>
    <n v="240"/>
    <d v="2023-09-02T00:00:00"/>
    <s v="Продукты"/>
    <s v="Кофе"/>
    <n v="12304.51"/>
    <n v="1"/>
    <s v="Казань"/>
    <n v="12304.51"/>
    <s v="2023-09"/>
    <n v="1179"/>
  </r>
  <r>
    <n v="1164"/>
    <d v="2023-09-02T00:00:00"/>
    <s v="Электроника"/>
    <s v="Наушники"/>
    <n v="66493.34"/>
    <n v="2"/>
    <s v="Казань"/>
    <n v="132986.68"/>
    <s v="2023-09"/>
    <n v="896"/>
  </r>
  <r>
    <n v="514"/>
    <d v="2023-09-03T00:00:00"/>
    <s v="Одежда"/>
    <s v="Футболка"/>
    <n v="148871.7"/>
    <n v="3"/>
    <s v="Екатеринбург"/>
    <n v="446615.1"/>
    <s v="2023-09"/>
    <n v="457"/>
  </r>
  <r>
    <n v="632"/>
    <d v="2023-09-03T00:00:00"/>
    <s v="Продукты"/>
    <s v="Молоко"/>
    <n v="130683.34"/>
    <n v="8"/>
    <s v="Екатеринбург"/>
    <n v="1045466.72"/>
    <s v="2023-09"/>
    <n v="75"/>
  </r>
  <r>
    <n v="798"/>
    <d v="2023-09-03T00:00:00"/>
    <s v="Продукты"/>
    <s v="Кофе"/>
    <n v="19945.54"/>
    <n v="6"/>
    <s v="Екатеринбург"/>
    <n v="119673.24"/>
    <s v="2023-09"/>
    <n v="928"/>
  </r>
  <r>
    <n v="847"/>
    <d v="2023-09-03T00:00:00"/>
    <s v="Продукты"/>
    <s v="Молоко"/>
    <n v="2955.63"/>
    <n v="9"/>
    <s v="Московская область"/>
    <n v="26600.67"/>
    <s v="2023-09"/>
    <n v="1137"/>
  </r>
  <r>
    <n v="879"/>
    <d v="2023-09-03T00:00:00"/>
    <s v="Продукты"/>
    <s v="Молоко"/>
    <n v="83263.48"/>
    <n v="1"/>
    <s v="Новосибирск"/>
    <n v="83263.48"/>
    <s v="2023-09"/>
    <n v="1008"/>
  </r>
  <r>
    <n v="902"/>
    <d v="2023-09-03T00:00:00"/>
    <s v="Одежда"/>
    <s v="Футболка"/>
    <n v="247.14"/>
    <n v="6"/>
    <s v="Екатеринбург"/>
    <n v="1482.84"/>
    <s v="2023-09"/>
    <n v="1198"/>
  </r>
  <r>
    <n v="916"/>
    <d v="2023-09-03T00:00:00"/>
    <s v="Товары для дома"/>
    <s v="Подушка"/>
    <n v="30662.55"/>
    <n v="3"/>
    <s v="Москва"/>
    <n v="91987.65"/>
    <s v="2023-09"/>
    <n v="986"/>
  </r>
  <r>
    <n v="62"/>
    <d v="2023-09-04T00:00:00"/>
    <s v="Продукты"/>
    <s v="Молоко"/>
    <n v="88807.53"/>
    <n v="4"/>
    <s v="Екатеринбург"/>
    <n v="355230.12"/>
    <s v="2023-09"/>
    <n v="580"/>
  </r>
  <r>
    <n v="215"/>
    <d v="2023-09-04T00:00:00"/>
    <s v="Электроника"/>
    <s v="Наушники"/>
    <n v="42146.28"/>
    <n v="6"/>
    <s v="Санкт‑Петербург"/>
    <n v="252877.68"/>
    <s v="2023-09"/>
    <n v="700"/>
  </r>
  <r>
    <n v="293"/>
    <d v="2023-09-04T00:00:00"/>
    <s v="Товары для дома"/>
    <s v="Подушка"/>
    <n v="8239.35"/>
    <n v="3"/>
    <s v="Новосибирск"/>
    <n v="24718.05"/>
    <s v="2023-09"/>
    <n v="1143"/>
  </r>
  <r>
    <n v="344"/>
    <d v="2023-09-04T00:00:00"/>
    <s v="Товары для дома"/>
    <s v="Плед"/>
    <n v="126268.98"/>
    <n v="4"/>
    <s v="Казань"/>
    <n v="505075.92"/>
    <s v="2023-09"/>
    <n v="405"/>
  </r>
  <r>
    <n v="1131"/>
    <d v="2023-09-04T00:00:00"/>
    <s v="Одежда"/>
    <s v="Кроссовки"/>
    <n v="101248.22"/>
    <n v="2"/>
    <s v="Новосибирск"/>
    <n v="202496.44"/>
    <s v="2023-09"/>
    <n v="783"/>
  </r>
  <r>
    <n v="1149"/>
    <d v="2023-09-04T00:00:00"/>
    <s v="Одежда"/>
    <s v="Футболка"/>
    <n v="58405.67"/>
    <n v="1"/>
    <s v="Санкт‑Петербург"/>
    <n v="58405.67"/>
    <s v="2023-09"/>
    <n v="1062"/>
  </r>
  <r>
    <n v="1176"/>
    <d v="2023-09-04T00:00:00"/>
    <s v="Товары для дома"/>
    <s v="Кружка"/>
    <n v="105645.76"/>
    <n v="4"/>
    <s v="Москва"/>
    <n v="422583.04"/>
    <s v="2023-09"/>
    <n v="493"/>
  </r>
  <r>
    <n v="105"/>
    <d v="2023-09-05T00:00:00"/>
    <s v="Электроника"/>
    <s v="Ноутбук"/>
    <n v="135557"/>
    <n v="3"/>
    <s v="Казань"/>
    <n v="406671"/>
    <s v="2023-09"/>
    <n v="508"/>
  </r>
  <r>
    <n v="155"/>
    <d v="2023-09-05T00:00:00"/>
    <s v="Товары для дома"/>
    <s v="Полотенце"/>
    <n v="128867.15"/>
    <n v="2"/>
    <s v="Казань"/>
    <n v="257734.3"/>
    <s v="2023-09"/>
    <n v="689"/>
  </r>
  <r>
    <n v="476"/>
    <d v="2023-09-05T00:00:00"/>
    <s v="Товары для дома"/>
    <s v="Полотенце"/>
    <n v="144924.22"/>
    <n v="7"/>
    <s v="Московская область"/>
    <n v="1014469.54"/>
    <s v="2023-09"/>
    <n v="85"/>
  </r>
  <r>
    <n v="787"/>
    <d v="2023-09-05T00:00:00"/>
    <s v="Продукты"/>
    <s v="Кофе"/>
    <n v="63783.16"/>
    <n v="6"/>
    <s v="Санкт‑Петербург"/>
    <n v="382698.96"/>
    <s v="2023-09"/>
    <n v="545"/>
  </r>
  <r>
    <n v="20"/>
    <d v="2023-09-06T00:00:00"/>
    <s v="Электроника"/>
    <s v="Планшет"/>
    <n v="116430.5"/>
    <n v="7"/>
    <s v="Санкт‑Петербург"/>
    <n v="815013.5"/>
    <s v="2023-09"/>
    <n v="185"/>
  </r>
  <r>
    <n v="617"/>
    <d v="2023-09-06T00:00:00"/>
    <s v="Одежда"/>
    <s v="Футболка"/>
    <n v="45117.64"/>
    <n v="1"/>
    <s v="Москва"/>
    <n v="45117.64"/>
    <s v="2023-09"/>
    <n v="1097"/>
  </r>
  <r>
    <n v="1160"/>
    <d v="2023-09-06T00:00:00"/>
    <s v="Одежда"/>
    <s v="Футболка"/>
    <n v="5305"/>
    <n v="8"/>
    <s v="Москва"/>
    <n v="42440"/>
    <s v="2023-09"/>
    <n v="1101"/>
  </r>
  <r>
    <n v="1193"/>
    <d v="2023-09-06T00:00:00"/>
    <s v="Одежда"/>
    <s v="Джинсы"/>
    <n v="113723.68"/>
    <n v="5"/>
    <s v="Московская область"/>
    <n v="568618.4"/>
    <s v="2023-09"/>
    <n v="353"/>
  </r>
  <r>
    <n v="32"/>
    <d v="2023-09-08T00:00:00"/>
    <s v="Продукты"/>
    <s v="Шоколад"/>
    <n v="15320.78"/>
    <n v="4"/>
    <s v="Москва"/>
    <n v="61283.12"/>
    <s v="2023-09"/>
    <n v="1056"/>
  </r>
  <r>
    <n v="177"/>
    <d v="2023-09-08T00:00:00"/>
    <s v="Электроника"/>
    <s v="Смартфон"/>
    <n v="50791.88"/>
    <n v="7"/>
    <s v="Москва"/>
    <n v="355543.16"/>
    <s v="2023-09"/>
    <n v="579"/>
  </r>
  <r>
    <n v="411"/>
    <d v="2023-09-08T00:00:00"/>
    <s v="Одежда"/>
    <s v="Кроссовки"/>
    <n v="95831.94"/>
    <n v="4"/>
    <s v="Новосибирск"/>
    <n v="383327.76"/>
    <s v="2023-09"/>
    <n v="544"/>
  </r>
  <r>
    <n v="610"/>
    <d v="2023-09-08T00:00:00"/>
    <s v="Одежда"/>
    <s v="Джинсы"/>
    <n v="65656.31"/>
    <n v="1"/>
    <s v="Екатеринбург"/>
    <n v="65656.31"/>
    <s v="2023-09"/>
    <n v="1043"/>
  </r>
  <r>
    <n v="837"/>
    <d v="2023-09-08T00:00:00"/>
    <s v="Одежда"/>
    <s v="Футболка"/>
    <n v="122996.34"/>
    <n v="1"/>
    <s v="Санкт‑Петербург"/>
    <n v="122996.34"/>
    <s v="2023-09"/>
    <n v="920"/>
  </r>
  <r>
    <n v="1165"/>
    <d v="2023-09-08T00:00:00"/>
    <s v="Продукты"/>
    <s v="Шоколад"/>
    <n v="81660.27"/>
    <n v="5"/>
    <s v="Новосибирск"/>
    <n v="408301.35"/>
    <s v="2023-09"/>
    <n v="506"/>
  </r>
  <r>
    <n v="1166"/>
    <d v="2023-09-08T00:00:00"/>
    <s v="Одежда"/>
    <s v="Кроссовки"/>
    <n v="101322.65"/>
    <n v="5"/>
    <s v="Москва"/>
    <n v="506613.25"/>
    <s v="2023-09"/>
    <n v="403"/>
  </r>
  <r>
    <n v="407"/>
    <d v="2023-09-09T00:00:00"/>
    <s v="Продукты"/>
    <s v="Кофе"/>
    <n v="108938.18"/>
    <n v="8"/>
    <s v="Новосибирск"/>
    <n v="871505.44"/>
    <s v="2023-09"/>
    <n v="151"/>
  </r>
  <r>
    <n v="987"/>
    <d v="2023-09-09T00:00:00"/>
    <s v="Товары для дома"/>
    <s v="Полотенце"/>
    <n v="133968.07"/>
    <n v="9"/>
    <s v="Казань"/>
    <n v="1205712.63"/>
    <s v="2023-09"/>
    <n v="29"/>
  </r>
  <r>
    <n v="1092"/>
    <d v="2023-09-09T00:00:00"/>
    <s v="Товары для дома"/>
    <s v="Плед"/>
    <n v="18663.68"/>
    <n v="6"/>
    <s v="Москва"/>
    <n v="111982.08"/>
    <s v="2023-09"/>
    <n v="947"/>
  </r>
  <r>
    <n v="175"/>
    <d v="2023-09-10T00:00:00"/>
    <s v="Продукты"/>
    <s v="Шоколад"/>
    <n v="78215.7"/>
    <n v="8"/>
    <s v="Московская область"/>
    <n v="625725.6"/>
    <s v="2023-09"/>
    <n v="305"/>
  </r>
  <r>
    <n v="305"/>
    <d v="2023-09-10T00:00:00"/>
    <s v="Товары для дома"/>
    <s v="Кружка"/>
    <n v="131499.72"/>
    <n v="2"/>
    <s v="Санкт‑Петербург"/>
    <n v="262999.44"/>
    <s v="2023-09"/>
    <n v="682"/>
  </r>
  <r>
    <n v="315"/>
    <d v="2023-09-10T00:00:00"/>
    <s v="Продукты"/>
    <s v="Молоко"/>
    <n v="45316.4"/>
    <n v="1"/>
    <s v="Московская область"/>
    <n v="45316.4"/>
    <s v="2023-09"/>
    <n v="1096"/>
  </r>
  <r>
    <n v="335"/>
    <d v="2023-09-10T00:00:00"/>
    <s v="Товары для дома"/>
    <s v="Плед"/>
    <n v="141084.95"/>
    <n v="7"/>
    <s v="Новосибирск"/>
    <n v="987594.65"/>
    <s v="2023-09"/>
    <n v="94"/>
  </r>
  <r>
    <n v="495"/>
    <d v="2023-09-10T00:00:00"/>
    <s v="Товары для дома"/>
    <s v="Плед"/>
    <n v="80902.25"/>
    <n v="7"/>
    <s v="Москва"/>
    <n v="566315.75"/>
    <s v="2023-09"/>
    <n v="355"/>
  </r>
  <r>
    <n v="144"/>
    <d v="2023-09-11T00:00:00"/>
    <s v="Продукты"/>
    <s v="Кофе"/>
    <n v="121700.28"/>
    <n v="2"/>
    <s v="Московская область"/>
    <n v="243400.56"/>
    <s v="2023-09"/>
    <n v="715"/>
  </r>
  <r>
    <n v="1006"/>
    <d v="2023-09-11T00:00:00"/>
    <s v="Продукты"/>
    <s v="Шоколад"/>
    <n v="28965.38"/>
    <n v="6"/>
    <s v="Москва"/>
    <n v="173792.28"/>
    <s v="2023-09"/>
    <n v="821"/>
  </r>
  <r>
    <n v="93"/>
    <d v="2023-09-12T00:00:00"/>
    <s v="Электроника"/>
    <s v="Смартфон"/>
    <n v="145221.51"/>
    <n v="7"/>
    <s v="Московская область"/>
    <n v="1016550.57"/>
    <s v="2023-09"/>
    <n v="84"/>
  </r>
  <r>
    <n v="757"/>
    <d v="2023-09-12T00:00:00"/>
    <s v="Одежда"/>
    <s v="Футболка"/>
    <n v="26585.21"/>
    <n v="5"/>
    <s v="Казань"/>
    <n v="132926.05"/>
    <s v="2023-09"/>
    <n v="898"/>
  </r>
  <r>
    <n v="135"/>
    <d v="2023-09-13T00:00:00"/>
    <s v="Одежда"/>
    <s v="Кроссовки"/>
    <n v="141931.87"/>
    <n v="9"/>
    <s v="Санкт‑Петербург"/>
    <n v="1277386.83"/>
    <s v="2023-09"/>
    <n v="20"/>
  </r>
  <r>
    <n v="1046"/>
    <d v="2023-09-13T00:00:00"/>
    <s v="Продукты"/>
    <s v="Хлеб"/>
    <n v="99269.74"/>
    <n v="4"/>
    <s v="Московская область"/>
    <n v="397078.96"/>
    <s v="2023-09"/>
    <n v="521"/>
  </r>
  <r>
    <n v="1109"/>
    <d v="2023-09-14T00:00:00"/>
    <s v="Электроника"/>
    <s v="Планшет"/>
    <n v="111039.45"/>
    <n v="4"/>
    <s v="Казань"/>
    <n v="444157.8"/>
    <s v="2023-09"/>
    <n v="459"/>
  </r>
  <r>
    <n v="311"/>
    <d v="2023-09-15T00:00:00"/>
    <s v="Товары для дома"/>
    <s v="Подушка"/>
    <n v="84614.88"/>
    <n v="6"/>
    <s v="Московская область"/>
    <n v="507689.28"/>
    <s v="2023-09"/>
    <n v="401"/>
  </r>
  <r>
    <n v="370"/>
    <d v="2023-09-15T00:00:00"/>
    <s v="Продукты"/>
    <s v="Хлеб"/>
    <n v="49146.97"/>
    <n v="9"/>
    <s v="Казань"/>
    <n v="442322.73"/>
    <s v="2023-09"/>
    <n v="463"/>
  </r>
  <r>
    <n v="819"/>
    <d v="2023-09-15T00:00:00"/>
    <s v="Товары для дома"/>
    <s v="Плед"/>
    <n v="45038.16"/>
    <n v="5"/>
    <s v="Казань"/>
    <n v="225190.8"/>
    <s v="2023-09"/>
    <n v="743"/>
  </r>
  <r>
    <n v="1144"/>
    <d v="2023-09-17T00:00:00"/>
    <s v="Одежда"/>
    <s v="Куртка"/>
    <n v="122982.34"/>
    <n v="7"/>
    <s v="Казань"/>
    <n v="860876.38"/>
    <s v="2023-09"/>
    <n v="158"/>
  </r>
  <r>
    <n v="143"/>
    <d v="2023-09-18T00:00:00"/>
    <s v="Продукты"/>
    <s v="Шоколад"/>
    <n v="78566.75"/>
    <n v="5"/>
    <s v="Новосибирск"/>
    <n v="392833.75"/>
    <s v="2023-09"/>
    <n v="533"/>
  </r>
  <r>
    <n v="946"/>
    <d v="2023-09-18T00:00:00"/>
    <s v="Одежда"/>
    <s v="Джинсы"/>
    <n v="13454.17"/>
    <n v="2"/>
    <s v="Санкт‑Петербург"/>
    <n v="26908.34"/>
    <s v="2023-09"/>
    <n v="1136"/>
  </r>
  <r>
    <n v="1038"/>
    <d v="2023-09-18T00:00:00"/>
    <s v="Товары для дома"/>
    <s v="Плед"/>
    <n v="13215.39"/>
    <n v="9"/>
    <s v="Екатеринбург"/>
    <n v="118938.51"/>
    <s v="2023-09"/>
    <n v="929"/>
  </r>
  <r>
    <n v="1122"/>
    <d v="2023-09-18T00:00:00"/>
    <s v="Одежда"/>
    <s v="Куртка"/>
    <n v="29718.32"/>
    <n v="8"/>
    <s v="Новосибирск"/>
    <n v="237746.56"/>
    <s v="2023-09"/>
    <n v="727"/>
  </r>
  <r>
    <n v="1130"/>
    <d v="2023-09-18T00:00:00"/>
    <s v="Товары для дома"/>
    <s v="Подушка"/>
    <n v="107235.25"/>
    <n v="1"/>
    <s v="Московская область"/>
    <n v="107235.25"/>
    <s v="2023-09"/>
    <n v="957"/>
  </r>
  <r>
    <n v="1158"/>
    <d v="2023-09-18T00:00:00"/>
    <s v="Одежда"/>
    <s v="Кроссовки"/>
    <n v="87046.97"/>
    <n v="7"/>
    <s v="Санкт‑Петербург"/>
    <n v="609328.79"/>
    <s v="2023-09"/>
    <n v="312"/>
  </r>
  <r>
    <n v="188"/>
    <d v="2023-09-19T00:00:00"/>
    <s v="Товары для дома"/>
    <s v="Кружка"/>
    <n v="57510.61"/>
    <n v="10"/>
    <s v="Екатеринбург"/>
    <n v="575106.1"/>
    <s v="2023-09"/>
    <n v="339"/>
  </r>
  <r>
    <n v="700"/>
    <d v="2023-09-19T00:00:00"/>
    <s v="Одежда"/>
    <s v="Кроссовки"/>
    <n v="6087.86"/>
    <n v="4"/>
    <s v="Москва"/>
    <n v="24351.44"/>
    <s v="2023-09"/>
    <n v="1144"/>
  </r>
  <r>
    <n v="163"/>
    <d v="2023-09-20T00:00:00"/>
    <s v="Продукты"/>
    <s v="Хлеб"/>
    <n v="49947.61"/>
    <n v="10"/>
    <s v="Екатеринбург"/>
    <n v="499476.1"/>
    <s v="2023-09"/>
    <n v="410"/>
  </r>
  <r>
    <n v="785"/>
    <d v="2023-09-20T00:00:00"/>
    <s v="Товары для дома"/>
    <s v="Полотенце"/>
    <n v="63698.58"/>
    <n v="9"/>
    <s v="Екатеринбург"/>
    <n v="573287.22"/>
    <s v="2023-09"/>
    <n v="344"/>
  </r>
  <r>
    <n v="955"/>
    <d v="2023-09-20T00:00:00"/>
    <s v="Одежда"/>
    <s v="Футболка"/>
    <n v="102535.09"/>
    <n v="5"/>
    <s v="Новосибирск"/>
    <n v="512675.45"/>
    <s v="2023-09"/>
    <n v="399"/>
  </r>
  <r>
    <n v="195"/>
    <d v="2023-09-21T00:00:00"/>
    <s v="Электроника"/>
    <s v="Планшет"/>
    <n v="102016.17"/>
    <n v="9"/>
    <s v="Московская область"/>
    <n v="918145.53"/>
    <s v="2023-09"/>
    <n v="126"/>
  </r>
  <r>
    <n v="213"/>
    <d v="2023-09-21T00:00:00"/>
    <s v="Товары для дома"/>
    <s v="Плед"/>
    <n v="32693.04"/>
    <n v="7"/>
    <s v="Москва"/>
    <n v="228851.28"/>
    <s v="2023-09"/>
    <n v="738"/>
  </r>
  <r>
    <n v="374"/>
    <d v="2023-09-21T00:00:00"/>
    <s v="Товары для дома"/>
    <s v="Кружка"/>
    <n v="6288.31"/>
    <n v="1"/>
    <s v="Московская область"/>
    <n v="6288.31"/>
    <s v="2023-09"/>
    <n v="1189"/>
  </r>
  <r>
    <n v="386"/>
    <d v="2023-09-21T00:00:00"/>
    <s v="Продукты"/>
    <s v="Хлеб"/>
    <n v="109636.73"/>
    <n v="6"/>
    <s v="Екатеринбург"/>
    <n v="657820.38"/>
    <s v="2023-09"/>
    <n v="293"/>
  </r>
  <r>
    <n v="835"/>
    <d v="2023-09-21T00:00:00"/>
    <s v="Электроника"/>
    <s v="Смартфон"/>
    <n v="52006.23"/>
    <n v="8"/>
    <s v="Екатеринбург"/>
    <n v="416049.84"/>
    <s v="2023-09"/>
    <n v="499"/>
  </r>
  <r>
    <n v="1036"/>
    <d v="2023-09-21T00:00:00"/>
    <s v="Продукты"/>
    <s v="Молоко"/>
    <n v="114253.35"/>
    <n v="8"/>
    <s v="Санкт‑Петербург"/>
    <n v="914026.8"/>
    <s v="2023-09"/>
    <n v="130"/>
  </r>
  <r>
    <n v="1041"/>
    <d v="2023-09-21T00:00:00"/>
    <s v="Электроника"/>
    <s v="Планшет"/>
    <n v="100580.01"/>
    <n v="8"/>
    <s v="Санкт‑Петербург"/>
    <n v="804640.08"/>
    <s v="2023-09"/>
    <n v="193"/>
  </r>
  <r>
    <n v="1139"/>
    <d v="2023-09-21T00:00:00"/>
    <s v="Продукты"/>
    <s v="Шоколад"/>
    <n v="62718.1"/>
    <n v="1"/>
    <s v="Московская область"/>
    <n v="62718.1"/>
    <s v="2023-09"/>
    <n v="1051"/>
  </r>
  <r>
    <n v="806"/>
    <d v="2023-09-22T00:00:00"/>
    <s v="Одежда"/>
    <s v="Куртка"/>
    <n v="38945.85"/>
    <n v="9"/>
    <s v="Санкт‑Петербург"/>
    <n v="350512.65"/>
    <s v="2023-09"/>
    <n v="587"/>
  </r>
  <r>
    <n v="912"/>
    <d v="2023-09-22T00:00:00"/>
    <s v="Товары для дома"/>
    <s v="Плед"/>
    <n v="95674.5"/>
    <n v="7"/>
    <s v="Москва"/>
    <n v="669721.5"/>
    <s v="2023-09"/>
    <n v="286"/>
  </r>
  <r>
    <n v="1095"/>
    <d v="2023-09-22T00:00:00"/>
    <s v="Электроника"/>
    <s v="Планшет"/>
    <n v="78754.77"/>
    <n v="7"/>
    <s v="Московская область"/>
    <n v="551283.39"/>
    <s v="2023-09"/>
    <n v="367"/>
  </r>
  <r>
    <n v="727"/>
    <d v="2023-09-23T00:00:00"/>
    <s v="Товары для дома"/>
    <s v="Плед"/>
    <n v="55192.49"/>
    <n v="9"/>
    <s v="Московская область"/>
    <n v="496732.41"/>
    <s v="2023-09"/>
    <n v="413"/>
  </r>
  <r>
    <n v="1115"/>
    <d v="2023-09-23T00:00:00"/>
    <s v="Одежда"/>
    <s v="Куртка"/>
    <n v="125599.11"/>
    <n v="7"/>
    <s v="Казань"/>
    <n v="879193.77"/>
    <s v="2023-09"/>
    <n v="144"/>
  </r>
  <r>
    <n v="272"/>
    <d v="2023-09-24T00:00:00"/>
    <s v="Одежда"/>
    <s v="Джинсы"/>
    <n v="132643.82"/>
    <n v="10"/>
    <s v="Московская область"/>
    <n v="1326438.2"/>
    <s v="2023-09"/>
    <n v="10"/>
  </r>
  <r>
    <n v="429"/>
    <d v="2023-09-24T00:00:00"/>
    <s v="Одежда"/>
    <s v="Джинсы"/>
    <n v="47287.57"/>
    <n v="9"/>
    <s v="Новосибирск"/>
    <n v="425588.13"/>
    <s v="2023-09"/>
    <n v="489"/>
  </r>
  <r>
    <n v="980"/>
    <d v="2023-09-24T00:00:00"/>
    <s v="Товары для дома"/>
    <s v="Кружка"/>
    <n v="143912.63"/>
    <n v="8"/>
    <s v="Московская область"/>
    <n v="1151301.04"/>
    <s v="2023-09"/>
    <n v="46"/>
  </r>
  <r>
    <n v="1198"/>
    <d v="2023-09-24T00:00:00"/>
    <s v="Продукты"/>
    <s v="Молоко"/>
    <n v="78928.97"/>
    <n v="4"/>
    <s v="Екатеринбург"/>
    <n v="315715.88"/>
    <s v="2023-09"/>
    <n v="618"/>
  </r>
  <r>
    <n v="649"/>
    <d v="2023-09-25T00:00:00"/>
    <s v="Электроника"/>
    <s v="Планшет"/>
    <n v="110670.58"/>
    <n v="1"/>
    <s v="Екатеринбург"/>
    <n v="110670.58"/>
    <s v="2023-09"/>
    <n v="949"/>
  </r>
  <r>
    <n v="900"/>
    <d v="2023-09-25T00:00:00"/>
    <s v="Товары для дома"/>
    <s v="Кружка"/>
    <n v="28026.27"/>
    <n v="8"/>
    <s v="Екатеринбург"/>
    <n v="224210.16"/>
    <s v="2023-09"/>
    <n v="745"/>
  </r>
  <r>
    <n v="910"/>
    <d v="2023-09-25T00:00:00"/>
    <s v="Одежда"/>
    <s v="Куртка"/>
    <n v="84277.46"/>
    <n v="8"/>
    <s v="Екатеринбург"/>
    <n v="674219.68"/>
    <s v="2023-09"/>
    <n v="284"/>
  </r>
  <r>
    <n v="132"/>
    <d v="2023-09-26T00:00:00"/>
    <s v="Электроника"/>
    <s v="Планшет"/>
    <n v="104911.79"/>
    <n v="2"/>
    <s v="Санкт‑Петербург"/>
    <n v="209823.58"/>
    <s v="2023-09"/>
    <n v="777"/>
  </r>
  <r>
    <n v="248"/>
    <d v="2023-09-26T00:00:00"/>
    <s v="Продукты"/>
    <s v="Шоколад"/>
    <n v="121243.87"/>
    <n v="3"/>
    <s v="Новосибирск"/>
    <n v="363731.61"/>
    <s v="2023-09"/>
    <n v="568"/>
  </r>
  <r>
    <n v="304"/>
    <d v="2023-09-26T00:00:00"/>
    <s v="Товары для дома"/>
    <s v="Кружка"/>
    <n v="91993.62"/>
    <n v="10"/>
    <s v="Московская область"/>
    <n v="919936.2"/>
    <s v="2023-09"/>
    <n v="124"/>
  </r>
  <r>
    <n v="416"/>
    <d v="2023-09-26T00:00:00"/>
    <s v="Продукты"/>
    <s v="Хлеб"/>
    <n v="11225.76"/>
    <n v="2"/>
    <s v="Москва"/>
    <n v="22451.52"/>
    <s v="2023-09"/>
    <n v="1147"/>
  </r>
  <r>
    <n v="392"/>
    <d v="2023-09-27T00:00:00"/>
    <s v="Продукты"/>
    <s v="Молоко"/>
    <n v="28908.59"/>
    <n v="1"/>
    <s v="Москва"/>
    <n v="28908.59"/>
    <s v="2023-09"/>
    <n v="1131"/>
  </r>
  <r>
    <n v="788"/>
    <d v="2023-09-27T00:00:00"/>
    <s v="Товары для дома"/>
    <s v="Кружка"/>
    <n v="111744.34"/>
    <n v="4"/>
    <s v="Казань"/>
    <n v="446977.36"/>
    <s v="2023-09"/>
    <n v="455"/>
  </r>
  <r>
    <n v="1187"/>
    <d v="2023-09-28T00:00:00"/>
    <s v="Электроника"/>
    <s v="Смартфон"/>
    <n v="39914.54"/>
    <n v="2"/>
    <s v="Москва"/>
    <n v="79829.08"/>
    <s v="2023-09"/>
    <n v="1016"/>
  </r>
  <r>
    <n v="531"/>
    <d v="2023-09-29T00:00:00"/>
    <s v="Продукты"/>
    <s v="Молоко"/>
    <n v="143349.65"/>
    <n v="4"/>
    <s v="Московская область"/>
    <n v="573398.6"/>
    <s v="2023-09"/>
    <n v="342"/>
  </r>
  <r>
    <n v="659"/>
    <d v="2023-09-29T00:00:00"/>
    <s v="Одежда"/>
    <s v="Футболка"/>
    <n v="55448.76"/>
    <n v="8"/>
    <s v="Москва"/>
    <n v="443590.08"/>
    <s v="2023-09"/>
    <n v="460"/>
  </r>
  <r>
    <n v="734"/>
    <d v="2023-09-29T00:00:00"/>
    <s v="Одежда"/>
    <s v="Куртка"/>
    <n v="94003.05"/>
    <n v="10"/>
    <s v="Москва"/>
    <n v="940030.5"/>
    <s v="2023-09"/>
    <n v="116"/>
  </r>
  <r>
    <n v="745"/>
    <d v="2023-09-29T00:00:00"/>
    <s v="Товары для дома"/>
    <s v="Полотенце"/>
    <n v="77463.9"/>
    <n v="1"/>
    <s v="Санкт‑Петербург"/>
    <n v="77463.9"/>
    <s v="2023-09"/>
    <n v="1022"/>
  </r>
  <r>
    <n v="1112"/>
    <d v="2023-09-29T00:00:00"/>
    <s v="Продукты"/>
    <s v="Кофе"/>
    <n v="4608.69"/>
    <n v="4"/>
    <s v="Санкт‑Петербург"/>
    <n v="18434.76"/>
    <s v="2023-09"/>
    <n v="1157"/>
  </r>
  <r>
    <n v="457"/>
    <d v="2023-09-30T00:00:00"/>
    <s v="Электроника"/>
    <s v="Смартфон"/>
    <n v="138817.71"/>
    <n v="8"/>
    <s v="Новосибирск"/>
    <n v="1110541.68"/>
    <s v="2023-09"/>
    <n v="62"/>
  </r>
  <r>
    <n v="667"/>
    <d v="2023-09-30T00:00:00"/>
    <s v="Продукты"/>
    <s v="Кофе"/>
    <n v="65280.29"/>
    <n v="6"/>
    <s v="Санкт‑Петербург"/>
    <n v="391681.74"/>
    <s v="2023-09"/>
    <n v="535"/>
  </r>
  <r>
    <n v="823"/>
    <d v="2023-09-30T00:00:00"/>
    <s v="Электроника"/>
    <s v="Ноутбук"/>
    <n v="48709.29"/>
    <n v="2"/>
    <s v="Санкт‑Петербург"/>
    <n v="97418.58"/>
    <s v="2023-09"/>
    <n v="975"/>
  </r>
  <r>
    <n v="300"/>
    <d v="2023-10-01T00:00:00"/>
    <s v="Электроника"/>
    <s v="Планшет"/>
    <n v="32462.13"/>
    <n v="5"/>
    <s v="Санкт‑Петербург"/>
    <n v="162310.65"/>
    <s v="2023-10"/>
    <n v="834"/>
  </r>
  <r>
    <n v="463"/>
    <d v="2023-10-01T00:00:00"/>
    <s v="Одежда"/>
    <s v="Джинсы"/>
    <n v="140816.18"/>
    <n v="1"/>
    <s v="Новосибирск"/>
    <n v="140816.18"/>
    <s v="2023-10"/>
    <n v="875"/>
  </r>
  <r>
    <n v="612"/>
    <d v="2023-10-01T00:00:00"/>
    <s v="Продукты"/>
    <s v="Хлеб"/>
    <n v="126077.12"/>
    <n v="6"/>
    <s v="Новосибирск"/>
    <n v="756462.72"/>
    <s v="2023-10"/>
    <n v="222"/>
  </r>
  <r>
    <n v="1154"/>
    <d v="2023-10-01T00:00:00"/>
    <s v="Продукты"/>
    <s v="Хлеб"/>
    <n v="105153.53"/>
    <n v="6"/>
    <s v="Московская область"/>
    <n v="630921.18"/>
    <s v="2023-10"/>
    <n v="304"/>
  </r>
  <r>
    <n v="1192"/>
    <d v="2023-10-01T00:00:00"/>
    <s v="Товары для дома"/>
    <s v="Кружка"/>
    <n v="129462.38"/>
    <n v="9"/>
    <s v="Москва"/>
    <n v="1165161.42"/>
    <s v="2023-10"/>
    <n v="41"/>
  </r>
  <r>
    <n v="129"/>
    <d v="2023-10-02T00:00:00"/>
    <s v="Товары для дома"/>
    <s v="Плед"/>
    <n v="18907.34"/>
    <n v="6"/>
    <s v="Новосибирск"/>
    <n v="113444.04"/>
    <s v="2023-10"/>
    <n v="941"/>
  </r>
  <r>
    <n v="296"/>
    <d v="2023-10-02T00:00:00"/>
    <s v="Продукты"/>
    <s v="Молоко"/>
    <n v="122836.36"/>
    <n v="3"/>
    <s v="Санкт‑Петербург"/>
    <n v="368509.08"/>
    <s v="2023-10"/>
    <n v="562"/>
  </r>
  <r>
    <n v="959"/>
    <d v="2023-10-02T00:00:00"/>
    <s v="Одежда"/>
    <s v="Куртка"/>
    <n v="69869.01"/>
    <n v="3"/>
    <s v="Екатеринбург"/>
    <n v="209607.03"/>
    <s v="2023-10"/>
    <n v="778"/>
  </r>
  <r>
    <n v="33"/>
    <d v="2023-10-03T00:00:00"/>
    <s v="Продукты"/>
    <s v="Шоколад"/>
    <n v="89719.92"/>
    <n v="3"/>
    <s v="Санкт‑Петербург"/>
    <n v="269159.76"/>
    <s v="2023-10"/>
    <n v="670"/>
  </r>
  <r>
    <n v="385"/>
    <d v="2023-10-03T00:00:00"/>
    <s v="Продукты"/>
    <s v="Молоко"/>
    <n v="59604.35"/>
    <n v="6"/>
    <s v="Москва"/>
    <n v="357626.1"/>
    <s v="2023-10"/>
    <n v="576"/>
  </r>
  <r>
    <n v="609"/>
    <d v="2023-10-03T00:00:00"/>
    <s v="Продукты"/>
    <s v="Кофе"/>
    <n v="36497.54"/>
    <n v="10"/>
    <s v="Москва"/>
    <n v="364975.4"/>
    <s v="2023-10"/>
    <n v="566"/>
  </r>
  <r>
    <n v="655"/>
    <d v="2023-10-03T00:00:00"/>
    <s v="Одежда"/>
    <s v="Куртка"/>
    <n v="5661.47"/>
    <n v="10"/>
    <s v="Московская область"/>
    <n v="56614.7"/>
    <s v="2023-10"/>
    <n v="1074"/>
  </r>
  <r>
    <n v="687"/>
    <d v="2023-10-03T00:00:00"/>
    <s v="Одежда"/>
    <s v="Куртка"/>
    <n v="137416.74"/>
    <n v="3"/>
    <s v="Московская область"/>
    <n v="412250.22"/>
    <s v="2023-10"/>
    <n v="503"/>
  </r>
  <r>
    <n v="1050"/>
    <d v="2023-10-03T00:00:00"/>
    <s v="Товары для дома"/>
    <s v="Подушка"/>
    <n v="24017.68"/>
    <n v="7"/>
    <s v="Москва"/>
    <n v="168123.76"/>
    <s v="2023-10"/>
    <n v="826"/>
  </r>
  <r>
    <n v="275"/>
    <d v="2023-10-04T00:00:00"/>
    <s v="Электроника"/>
    <s v="Ноутбук"/>
    <n v="36026.89"/>
    <n v="6"/>
    <s v="Московская область"/>
    <n v="216161.34"/>
    <s v="2023-10"/>
    <n v="762"/>
  </r>
  <r>
    <n v="455"/>
    <d v="2023-10-04T00:00:00"/>
    <s v="Товары для дома"/>
    <s v="Подушка"/>
    <n v="54586.31"/>
    <n v="9"/>
    <s v="Казань"/>
    <n v="491276.79"/>
    <s v="2023-10"/>
    <n v="420"/>
  </r>
  <r>
    <n v="991"/>
    <d v="2023-10-04T00:00:00"/>
    <s v="Электроника"/>
    <s v="Планшет"/>
    <n v="133975.4"/>
    <n v="1"/>
    <s v="Москва"/>
    <n v="133975.4"/>
    <s v="2023-10"/>
    <n v="895"/>
  </r>
  <r>
    <n v="19"/>
    <d v="2023-10-05T00:00:00"/>
    <s v="Электроника"/>
    <s v="Планшет"/>
    <n v="99809.67"/>
    <n v="4"/>
    <s v="Московская область"/>
    <n v="399238.68"/>
    <s v="2023-10"/>
    <n v="519"/>
  </r>
  <r>
    <n v="27"/>
    <d v="2023-10-05T00:00:00"/>
    <s v="Товары для дома"/>
    <s v="Полотенце"/>
    <n v="121363.31"/>
    <n v="4"/>
    <s v="Московская область"/>
    <n v="485453.24"/>
    <s v="2023-10"/>
    <n v="425"/>
  </r>
  <r>
    <n v="185"/>
    <d v="2023-10-05T00:00:00"/>
    <s v="Продукты"/>
    <s v="Шоколад"/>
    <n v="124308.43"/>
    <n v="8"/>
    <s v="Казань"/>
    <n v="994467.44"/>
    <s v="2023-10"/>
    <n v="92"/>
  </r>
  <r>
    <n v="273"/>
    <d v="2023-10-05T00:00:00"/>
    <s v="Одежда"/>
    <s v="Куртка"/>
    <n v="105155.51"/>
    <n v="9"/>
    <s v="Новосибирск"/>
    <n v="946399.59"/>
    <s v="2023-10"/>
    <n v="110"/>
  </r>
  <r>
    <n v="934"/>
    <d v="2023-10-05T00:00:00"/>
    <s v="Электроника"/>
    <s v="Наушники"/>
    <n v="136792.35"/>
    <n v="4"/>
    <s v="Казань"/>
    <n v="547169.4"/>
    <s v="2023-10"/>
    <n v="371"/>
  </r>
  <r>
    <n v="186"/>
    <d v="2023-10-06T00:00:00"/>
    <s v="Одежда"/>
    <s v="Куртка"/>
    <n v="80879.46"/>
    <n v="8"/>
    <s v="Московская область"/>
    <n v="647035.68"/>
    <s v="2023-10"/>
    <n v="298"/>
  </r>
  <r>
    <n v="532"/>
    <d v="2023-10-06T00:00:00"/>
    <s v="Одежда"/>
    <s v="Футболка"/>
    <n v="5818.34"/>
    <n v="3"/>
    <s v="Екатеринбург"/>
    <n v="17455.02"/>
    <s v="2023-10"/>
    <n v="1159"/>
  </r>
  <r>
    <n v="18"/>
    <d v="2023-10-07T00:00:00"/>
    <s v="Одежда"/>
    <s v="Футболка"/>
    <n v="71609.28"/>
    <n v="6"/>
    <s v="Московская область"/>
    <n v="429655.68"/>
    <s v="2023-10"/>
    <n v="484"/>
  </r>
  <r>
    <n v="141"/>
    <d v="2023-10-07T00:00:00"/>
    <s v="Электроника"/>
    <s v="Планшет"/>
    <n v="11795.41"/>
    <n v="1"/>
    <s v="Москва"/>
    <n v="11795.41"/>
    <s v="2023-10"/>
    <n v="1180"/>
  </r>
  <r>
    <n v="560"/>
    <d v="2023-10-08T00:00:00"/>
    <s v="Товары для дома"/>
    <s v="Полотенце"/>
    <n v="96475.13"/>
    <n v="6"/>
    <s v="Москва"/>
    <n v="578850.78"/>
    <s v="2023-10"/>
    <n v="334"/>
  </r>
  <r>
    <n v="1034"/>
    <d v="2023-10-08T00:00:00"/>
    <s v="Одежда"/>
    <s v="Футболка"/>
    <n v="98725.69"/>
    <n v="9"/>
    <s v="Казань"/>
    <n v="888531.21"/>
    <s v="2023-10"/>
    <n v="140"/>
  </r>
  <r>
    <n v="1178"/>
    <d v="2023-10-08T00:00:00"/>
    <s v="Электроника"/>
    <s v="Наушники"/>
    <n v="64067.91"/>
    <n v="1"/>
    <s v="Новосибирск"/>
    <n v="64067.91"/>
    <s v="2023-10"/>
    <n v="1048"/>
  </r>
  <r>
    <n v="100"/>
    <d v="2023-10-09T00:00:00"/>
    <s v="Товары для дома"/>
    <s v="Плед"/>
    <n v="26252.93"/>
    <n v="6"/>
    <s v="Москва"/>
    <n v="157517.58"/>
    <s v="2023-10"/>
    <n v="842"/>
  </r>
  <r>
    <n v="1030"/>
    <d v="2023-10-09T00:00:00"/>
    <s v="Продукты"/>
    <s v="Шоколад"/>
    <n v="16443.3"/>
    <n v="8"/>
    <s v="Екатеринбург"/>
    <n v="131546.4"/>
    <s v="2023-10"/>
    <n v="901"/>
  </r>
  <r>
    <n v="133"/>
    <d v="2023-10-10T00:00:00"/>
    <s v="Товары для дома"/>
    <s v="Плед"/>
    <n v="12506.23"/>
    <n v="7"/>
    <s v="Санкт‑Петербург"/>
    <n v="87543.61"/>
    <s v="2023-10"/>
    <n v="999"/>
  </r>
  <r>
    <n v="567"/>
    <d v="2023-10-10T00:00:00"/>
    <s v="Продукты"/>
    <s v="Молоко"/>
    <n v="123266.05"/>
    <n v="7"/>
    <s v="Санкт‑Петербург"/>
    <n v="862862.35"/>
    <s v="2023-10"/>
    <n v="157"/>
  </r>
  <r>
    <n v="661"/>
    <d v="2023-10-10T00:00:00"/>
    <s v="Продукты"/>
    <s v="Кофе"/>
    <n v="104916.99"/>
    <n v="8"/>
    <s v="Казань"/>
    <n v="839335.92"/>
    <s v="2023-10"/>
    <n v="172"/>
  </r>
  <r>
    <n v="707"/>
    <d v="2023-10-10T00:00:00"/>
    <s v="Одежда"/>
    <s v="Футболка"/>
    <n v="69954.28"/>
    <n v="2"/>
    <s v="Новосибирск"/>
    <n v="139908.56"/>
    <s v="2023-10"/>
    <n v="877"/>
  </r>
  <r>
    <n v="1123"/>
    <d v="2023-10-10T00:00:00"/>
    <s v="Одежда"/>
    <s v="Кроссовки"/>
    <n v="53542.63"/>
    <n v="9"/>
    <s v="Московская область"/>
    <n v="481883.67"/>
    <s v="2023-10"/>
    <n v="426"/>
  </r>
  <r>
    <n v="1169"/>
    <d v="2023-10-10T00:00:00"/>
    <s v="Товары для дома"/>
    <s v="Полотенце"/>
    <n v="35206.25"/>
    <n v="5"/>
    <s v="Москва"/>
    <n v="176031.25"/>
    <s v="2023-10"/>
    <n v="817"/>
  </r>
  <r>
    <n v="114"/>
    <d v="2023-10-11T00:00:00"/>
    <s v="Продукты"/>
    <s v="Кофе"/>
    <n v="107815.83"/>
    <n v="1"/>
    <s v="Москва"/>
    <n v="107815.83"/>
    <s v="2023-10"/>
    <n v="954"/>
  </r>
  <r>
    <n v="662"/>
    <d v="2023-10-11T00:00:00"/>
    <s v="Продукты"/>
    <s v="Шоколад"/>
    <n v="81142.18"/>
    <n v="10"/>
    <s v="Казань"/>
    <n v="811421.8"/>
    <s v="2023-10"/>
    <n v="187"/>
  </r>
  <r>
    <n v="715"/>
    <d v="2023-10-11T00:00:00"/>
    <s v="Электроника"/>
    <s v="Ноутбук"/>
    <n v="5043.9"/>
    <n v="10"/>
    <s v="Екатеринбург"/>
    <n v="50439"/>
    <s v="2023-10"/>
    <n v="1084"/>
  </r>
  <r>
    <n v="954"/>
    <d v="2023-10-11T00:00:00"/>
    <s v="Электроника"/>
    <s v="Смартфон"/>
    <n v="67461.89"/>
    <n v="7"/>
    <s v="Екатеринбург"/>
    <n v="472233.23"/>
    <s v="2023-10"/>
    <n v="433"/>
  </r>
  <r>
    <n v="986"/>
    <d v="2023-10-11T00:00:00"/>
    <s v="Электроника"/>
    <s v="Планшет"/>
    <n v="72077.88"/>
    <n v="7"/>
    <s v="Казань"/>
    <n v="504545.16"/>
    <s v="2023-10"/>
    <n v="406"/>
  </r>
  <r>
    <n v="307"/>
    <d v="2023-10-13T00:00:00"/>
    <s v="Продукты"/>
    <s v="Кофе"/>
    <n v="10239.32"/>
    <n v="3"/>
    <s v="Новосибирск"/>
    <n v="30717.96"/>
    <s v="2023-10"/>
    <n v="1125"/>
  </r>
  <r>
    <n v="518"/>
    <d v="2023-10-13T00:00:00"/>
    <s v="Продукты"/>
    <s v="Хлеб"/>
    <n v="132323.2"/>
    <n v="2"/>
    <s v="Санкт‑Петербург"/>
    <n v="264646.4"/>
    <s v="2023-10"/>
    <n v="678"/>
  </r>
  <r>
    <n v="746"/>
    <d v="2023-10-13T00:00:00"/>
    <s v="Электроника"/>
    <s v="Смартфон"/>
    <n v="148806.13"/>
    <n v="4"/>
    <s v="Московская область"/>
    <n v="595224.52"/>
    <s v="2023-10"/>
    <n v="322"/>
  </r>
  <r>
    <n v="306"/>
    <d v="2023-10-14T00:00:00"/>
    <s v="Электроника"/>
    <s v="Наушники"/>
    <n v="83018.45"/>
    <n v="6"/>
    <s v="Екатеринбург"/>
    <n v="498110.7"/>
    <s v="2023-10"/>
    <n v="411"/>
  </r>
  <r>
    <n v="338"/>
    <d v="2023-10-14T00:00:00"/>
    <s v="Продукты"/>
    <s v="Шоколад"/>
    <n v="53936.51"/>
    <n v="4"/>
    <s v="Новосибирск"/>
    <n v="215746.04"/>
    <s v="2023-10"/>
    <n v="765"/>
  </r>
  <r>
    <n v="356"/>
    <d v="2023-10-14T00:00:00"/>
    <s v="Продукты"/>
    <s v="Молоко"/>
    <n v="92164.96"/>
    <n v="3"/>
    <s v="Новосибирск"/>
    <n v="276494.88"/>
    <s v="2023-10"/>
    <n v="660"/>
  </r>
  <r>
    <n v="462"/>
    <d v="2023-10-14T00:00:00"/>
    <s v="Товары для дома"/>
    <s v="Полотенце"/>
    <n v="42700.96"/>
    <n v="5"/>
    <s v="Санкт‑Петербург"/>
    <n v="213504.8"/>
    <s v="2023-10"/>
    <n v="770"/>
  </r>
  <r>
    <n v="494"/>
    <d v="2023-10-14T00:00:00"/>
    <s v="Одежда"/>
    <s v="Кроссовки"/>
    <n v="80190.1"/>
    <n v="1"/>
    <s v="Новосибирск"/>
    <n v="80190.1"/>
    <s v="2023-10"/>
    <n v="1015"/>
  </r>
  <r>
    <n v="507"/>
    <d v="2023-10-14T00:00:00"/>
    <s v="Одежда"/>
    <s v="Футболка"/>
    <n v="99314.11"/>
    <n v="1"/>
    <s v="Екатеринбург"/>
    <n v="99314.11"/>
    <s v="2023-10"/>
    <n v="971"/>
  </r>
  <r>
    <n v="736"/>
    <d v="2023-10-14T00:00:00"/>
    <s v="Одежда"/>
    <s v="Джинсы"/>
    <n v="32209.75"/>
    <n v="6"/>
    <s v="Московская область"/>
    <n v="193258.5"/>
    <s v="2023-10"/>
    <n v="797"/>
  </r>
  <r>
    <n v="251"/>
    <d v="2023-10-15T00:00:00"/>
    <s v="Товары для дома"/>
    <s v="Подушка"/>
    <n v="100685.27"/>
    <n v="3"/>
    <s v="Санкт‑Петербург"/>
    <n v="302055.81"/>
    <s v="2023-10"/>
    <n v="630"/>
  </r>
  <r>
    <n v="600"/>
    <d v="2023-10-15T00:00:00"/>
    <s v="Электроника"/>
    <s v="Смартфон"/>
    <n v="52374.62"/>
    <n v="9"/>
    <s v="Московская область"/>
    <n v="471371.58"/>
    <s v="2023-10"/>
    <n v="434"/>
  </r>
  <r>
    <n v="676"/>
    <d v="2023-10-15T00:00:00"/>
    <s v="Одежда"/>
    <s v="Кроссовки"/>
    <n v="112316.29"/>
    <n v="2"/>
    <s v="Московская область"/>
    <n v="224632.58"/>
    <s v="2023-10"/>
    <n v="744"/>
  </r>
  <r>
    <n v="843"/>
    <d v="2023-10-15T00:00:00"/>
    <s v="Одежда"/>
    <s v="Куртка"/>
    <n v="30729.38"/>
    <n v="7"/>
    <s v="Новосибирск"/>
    <n v="215105.66"/>
    <s v="2023-10"/>
    <n v="767"/>
  </r>
  <r>
    <n v="895"/>
    <d v="2023-10-15T00:00:00"/>
    <s v="Электроника"/>
    <s v="Наушники"/>
    <n v="46159.86"/>
    <n v="8"/>
    <s v="Санкт‑Петербург"/>
    <n v="369278.88"/>
    <s v="2023-10"/>
    <n v="560"/>
  </r>
  <r>
    <n v="465"/>
    <d v="2023-10-16T00:00:00"/>
    <s v="Продукты"/>
    <s v="Хлеб"/>
    <n v="130392.71"/>
    <n v="5"/>
    <s v="Казань"/>
    <n v="651963.55"/>
    <s v="2023-10"/>
    <n v="295"/>
  </r>
  <r>
    <n v="516"/>
    <d v="2023-10-16T00:00:00"/>
    <s v="Продукты"/>
    <s v="Молоко"/>
    <n v="50526.05"/>
    <n v="4"/>
    <s v="Новосибирск"/>
    <n v="202104.2"/>
    <s v="2023-10"/>
    <n v="785"/>
  </r>
  <r>
    <n v="579"/>
    <d v="2023-10-16T00:00:00"/>
    <s v="Товары для дома"/>
    <s v="Полотенце"/>
    <n v="81001.28"/>
    <n v="3"/>
    <s v="Новосибирск"/>
    <n v="243003.84"/>
    <s v="2023-10"/>
    <n v="716"/>
  </r>
  <r>
    <n v="809"/>
    <d v="2023-10-16T00:00:00"/>
    <s v="Товары для дома"/>
    <s v="Кружка"/>
    <n v="50194.77"/>
    <n v="4"/>
    <s v="Москва"/>
    <n v="200779.08"/>
    <s v="2023-10"/>
    <n v="786"/>
  </r>
  <r>
    <n v="160"/>
    <d v="2023-10-17T00:00:00"/>
    <s v="Продукты"/>
    <s v="Хлеб"/>
    <n v="65956.77"/>
    <n v="3"/>
    <s v="Новосибирск"/>
    <n v="197870.31"/>
    <s v="2023-10"/>
    <n v="788"/>
  </r>
  <r>
    <n v="233"/>
    <d v="2023-10-17T00:00:00"/>
    <s v="Электроника"/>
    <s v="Планшет"/>
    <n v="79150.3"/>
    <n v="10"/>
    <s v="Санкт‑Петербург"/>
    <n v="791503"/>
    <s v="2023-10"/>
    <n v="200"/>
  </r>
  <r>
    <n v="1020"/>
    <d v="2023-10-17T00:00:00"/>
    <s v="Электроника"/>
    <s v="Смартфон"/>
    <n v="80089.46"/>
    <n v="4"/>
    <s v="Московская область"/>
    <n v="320357.84"/>
    <s v="2023-10"/>
    <n v="614"/>
  </r>
  <r>
    <n v="51"/>
    <d v="2023-10-18T00:00:00"/>
    <s v="Товары для дома"/>
    <s v="Подушка"/>
    <n v="49422.99"/>
    <n v="8"/>
    <s v="Новосибирск"/>
    <n v="395383.92"/>
    <s v="2023-10"/>
    <n v="527"/>
  </r>
  <r>
    <n v="61"/>
    <d v="2023-10-18T00:00:00"/>
    <s v="Одежда"/>
    <s v="Куртка"/>
    <n v="119969.69"/>
    <n v="8"/>
    <s v="Казань"/>
    <n v="959757.52"/>
    <s v="2023-10"/>
    <n v="104"/>
  </r>
  <r>
    <n v="846"/>
    <d v="2023-10-18T00:00:00"/>
    <s v="Продукты"/>
    <s v="Молоко"/>
    <n v="107644.84"/>
    <n v="5"/>
    <s v="Новосибирск"/>
    <n v="538224.2"/>
    <s v="2023-10"/>
    <n v="379"/>
  </r>
  <r>
    <n v="1161"/>
    <d v="2023-10-18T00:00:00"/>
    <s v="Электроника"/>
    <s v="Смартфон"/>
    <n v="99342.18"/>
    <n v="7"/>
    <s v="Новосибирск"/>
    <n v="695395.26"/>
    <s v="2023-10"/>
    <n v="264"/>
  </r>
  <r>
    <n v="713"/>
    <d v="2023-10-19T00:00:00"/>
    <s v="Электроника"/>
    <s v="Наушники"/>
    <n v="39286.08"/>
    <n v="2"/>
    <s v="Новосибирск"/>
    <n v="78572.16"/>
    <s v="2023-10"/>
    <n v="1020"/>
  </r>
  <r>
    <n v="717"/>
    <d v="2023-10-19T00:00:00"/>
    <s v="Товары для дома"/>
    <s v="Полотенце"/>
    <n v="120424.49"/>
    <n v="10"/>
    <s v="Казань"/>
    <n v="1204244.9"/>
    <s v="2023-10"/>
    <n v="30"/>
  </r>
  <r>
    <n v="971"/>
    <d v="2023-10-19T00:00:00"/>
    <s v="Товары для дома"/>
    <s v="Кружка"/>
    <n v="108379"/>
    <n v="3"/>
    <s v="Екатеринбург"/>
    <n v="325137"/>
    <s v="2023-10"/>
    <n v="610"/>
  </r>
  <r>
    <n v="1025"/>
    <d v="2023-10-19T00:00:00"/>
    <s v="Одежда"/>
    <s v="Кроссовки"/>
    <n v="71527.52"/>
    <n v="1"/>
    <s v="Новосибирск"/>
    <n v="71527.52"/>
    <s v="2023-10"/>
    <n v="1036"/>
  </r>
  <r>
    <n v="1085"/>
    <d v="2023-10-19T00:00:00"/>
    <s v="Продукты"/>
    <s v="Шоколад"/>
    <n v="87195.82"/>
    <n v="10"/>
    <s v="Казань"/>
    <n v="871958.2"/>
    <s v="2023-10"/>
    <n v="150"/>
  </r>
  <r>
    <n v="704"/>
    <d v="2023-10-20T00:00:00"/>
    <s v="Товары для дома"/>
    <s v="Плед"/>
    <n v="110682.95"/>
    <n v="10"/>
    <s v="Москва"/>
    <n v="1106829.5"/>
    <s v="2023-10"/>
    <n v="63"/>
  </r>
  <r>
    <n v="803"/>
    <d v="2023-10-20T00:00:00"/>
    <s v="Продукты"/>
    <s v="Шоколад"/>
    <n v="114016.44"/>
    <n v="9"/>
    <s v="Казань"/>
    <n v="1026147.96"/>
    <s v="2023-10"/>
    <n v="80"/>
  </r>
  <r>
    <n v="229"/>
    <d v="2023-10-21T00:00:00"/>
    <s v="Товары для дома"/>
    <s v="Полотенце"/>
    <n v="129868.52"/>
    <n v="3"/>
    <s v="Казань"/>
    <n v="389605.56"/>
    <s v="2023-10"/>
    <n v="536"/>
  </r>
  <r>
    <n v="368"/>
    <d v="2023-10-21T00:00:00"/>
    <s v="Одежда"/>
    <s v="Джинсы"/>
    <n v="115377.17"/>
    <n v="6"/>
    <s v="Московская область"/>
    <n v="692263.02"/>
    <s v="2023-10"/>
    <n v="269"/>
  </r>
  <r>
    <n v="74"/>
    <d v="2023-10-22T00:00:00"/>
    <s v="Электроника"/>
    <s v="Смартфон"/>
    <n v="131969.39"/>
    <n v="10"/>
    <s v="Санкт‑Петербург"/>
    <n v="1319693.9"/>
    <s v="2023-10"/>
    <n v="12"/>
  </r>
  <r>
    <n v="206"/>
    <d v="2023-10-22T00:00:00"/>
    <s v="Товары для дома"/>
    <s v="Подушка"/>
    <n v="130085.4"/>
    <n v="8"/>
    <s v="Московская область"/>
    <n v="1040683.2"/>
    <s v="2023-10"/>
    <n v="76"/>
  </r>
  <r>
    <n v="373"/>
    <d v="2023-10-22T00:00:00"/>
    <s v="Продукты"/>
    <s v="Хлеб"/>
    <n v="24630.81"/>
    <n v="2"/>
    <s v="Московская область"/>
    <n v="49261.62"/>
    <s v="2023-10"/>
    <n v="1088"/>
  </r>
  <r>
    <n v="404"/>
    <d v="2023-10-22T00:00:00"/>
    <s v="Одежда"/>
    <s v="Кроссовки"/>
    <n v="15661.56"/>
    <n v="2"/>
    <s v="Казань"/>
    <n v="31323.12"/>
    <s v="2023-10"/>
    <n v="1123"/>
  </r>
  <r>
    <n v="497"/>
    <d v="2023-10-22T00:00:00"/>
    <s v="Продукты"/>
    <s v="Хлеб"/>
    <n v="28887.48"/>
    <n v="7"/>
    <s v="Екатеринбург"/>
    <n v="202212.36"/>
    <s v="2023-10"/>
    <n v="784"/>
  </r>
  <r>
    <n v="574"/>
    <d v="2023-10-22T00:00:00"/>
    <s v="Товары для дома"/>
    <s v="Плед"/>
    <n v="73777.44"/>
    <n v="7"/>
    <s v="Екатеринбург"/>
    <n v="516442.08"/>
    <s v="2023-10"/>
    <n v="395"/>
  </r>
  <r>
    <n v="178"/>
    <d v="2023-10-23T00:00:00"/>
    <s v="Продукты"/>
    <s v="Кофе"/>
    <n v="57256.99"/>
    <n v="7"/>
    <s v="Московская область"/>
    <n v="400798.93"/>
    <s v="2023-10"/>
    <n v="515"/>
  </r>
  <r>
    <n v="555"/>
    <d v="2023-10-23T00:00:00"/>
    <s v="Одежда"/>
    <s v="Кроссовки"/>
    <n v="140108.15"/>
    <n v="4"/>
    <s v="Казань"/>
    <n v="560432.6"/>
    <s v="2023-10"/>
    <n v="360"/>
  </r>
  <r>
    <n v="756"/>
    <d v="2023-10-23T00:00:00"/>
    <s v="Товары для дома"/>
    <s v="Подушка"/>
    <n v="942.11"/>
    <n v="3"/>
    <s v="Новосибирск"/>
    <n v="2826.33"/>
    <s v="2023-10"/>
    <n v="1195"/>
  </r>
  <r>
    <n v="829"/>
    <d v="2023-10-23T00:00:00"/>
    <s v="Товары для дома"/>
    <s v="Кружка"/>
    <n v="97361.83"/>
    <n v="5"/>
    <s v="Московская область"/>
    <n v="486809.15"/>
    <s v="2023-10"/>
    <n v="424"/>
  </r>
  <r>
    <n v="277"/>
    <d v="2023-10-25T00:00:00"/>
    <s v="Товары для дома"/>
    <s v="Подушка"/>
    <n v="96171.47"/>
    <n v="6"/>
    <s v="Екатеринбург"/>
    <n v="577028.82"/>
    <s v="2023-10"/>
    <n v="336"/>
  </r>
  <r>
    <n v="153"/>
    <d v="2023-10-26T00:00:00"/>
    <s v="Одежда"/>
    <s v="Джинсы"/>
    <n v="57028.8"/>
    <n v="5"/>
    <s v="Новосибирск"/>
    <n v="285144"/>
    <s v="2023-10"/>
    <n v="647"/>
  </r>
  <r>
    <n v="121"/>
    <d v="2023-10-27T00:00:00"/>
    <s v="Продукты"/>
    <s v="Кофе"/>
    <n v="4170.74"/>
    <n v="2"/>
    <s v="Санкт‑Петербург"/>
    <n v="8341.48"/>
    <s v="2023-10"/>
    <n v="1187"/>
  </r>
  <r>
    <n v="207"/>
    <d v="2023-10-27T00:00:00"/>
    <s v="Одежда"/>
    <s v="Куртка"/>
    <n v="44391.32"/>
    <n v="2"/>
    <s v="Московская область"/>
    <n v="88782.64"/>
    <s v="2023-10"/>
    <n v="997"/>
  </r>
  <r>
    <n v="1107"/>
    <d v="2023-10-27T00:00:00"/>
    <s v="Одежда"/>
    <s v="Кроссовки"/>
    <n v="96461.63"/>
    <n v="8"/>
    <s v="Новосибирск"/>
    <n v="771693.04"/>
    <s v="2023-10"/>
    <n v="212"/>
  </r>
  <r>
    <n v="1188"/>
    <d v="2023-10-27T00:00:00"/>
    <s v="Одежда"/>
    <s v="Кроссовки"/>
    <n v="105423.72"/>
    <n v="6"/>
    <s v="Москва"/>
    <n v="632542.32"/>
    <s v="2023-10"/>
    <n v="303"/>
  </r>
  <r>
    <n v="380"/>
    <d v="2023-10-28T00:00:00"/>
    <s v="Электроника"/>
    <s v="Ноутбук"/>
    <n v="57912.15"/>
    <n v="1"/>
    <s v="Москва"/>
    <n v="57912.15"/>
    <s v="2023-10"/>
    <n v="1064"/>
  </r>
  <r>
    <n v="427"/>
    <d v="2023-10-28T00:00:00"/>
    <s v="Товары для дома"/>
    <s v="Плед"/>
    <n v="120693.42"/>
    <n v="8"/>
    <s v="Новосибирск"/>
    <n v="965547.36"/>
    <s v="2023-10"/>
    <n v="101"/>
  </r>
  <r>
    <n v="505"/>
    <d v="2023-10-28T00:00:00"/>
    <s v="Товары для дома"/>
    <s v="Кружка"/>
    <n v="9972.42"/>
    <n v="9"/>
    <s v="Казань"/>
    <n v="89751.78"/>
    <s v="2023-10"/>
    <n v="993"/>
  </r>
  <r>
    <n v="628"/>
    <d v="2023-10-28T00:00:00"/>
    <s v="Продукты"/>
    <s v="Шоколад"/>
    <n v="105999.96"/>
    <n v="5"/>
    <s v="Санкт‑Петербург"/>
    <n v="529999.8"/>
    <s v="2023-10"/>
    <n v="384"/>
  </r>
  <r>
    <n v="1002"/>
    <d v="2023-10-28T00:00:00"/>
    <s v="Товары для дома"/>
    <s v="Плед"/>
    <n v="95838.92"/>
    <n v="1"/>
    <s v="Москва"/>
    <n v="95838.92"/>
    <s v="2023-10"/>
    <n v="978"/>
  </r>
  <r>
    <n v="1153"/>
    <d v="2023-10-28T00:00:00"/>
    <s v="Электроника"/>
    <s v="Ноутбук"/>
    <n v="107972.1"/>
    <n v="3"/>
    <s v="Казань"/>
    <n v="323916.3"/>
    <s v="2023-10"/>
    <n v="611"/>
  </r>
  <r>
    <n v="247"/>
    <d v="2023-10-29T00:00:00"/>
    <s v="Товары для дома"/>
    <s v="Полотенце"/>
    <n v="141782.36"/>
    <n v="3"/>
    <s v="Казань"/>
    <n v="425347.08"/>
    <s v="2023-10"/>
    <n v="490"/>
  </r>
  <r>
    <n v="489"/>
    <d v="2023-10-29T00:00:00"/>
    <s v="Товары для дома"/>
    <s v="Полотенце"/>
    <n v="69058.43"/>
    <n v="2"/>
    <s v="Санкт‑Петербург"/>
    <n v="138116.86"/>
    <s v="2023-10"/>
    <n v="883"/>
  </r>
  <r>
    <n v="568"/>
    <d v="2023-10-29T00:00:00"/>
    <s v="Электроника"/>
    <s v="Ноутбук"/>
    <n v="81321.14"/>
    <n v="5"/>
    <s v="Санкт‑Петербург"/>
    <n v="406605.7"/>
    <s v="2023-10"/>
    <n v="509"/>
  </r>
  <r>
    <n v="645"/>
    <d v="2023-10-29T00:00:00"/>
    <s v="Товары для дома"/>
    <s v="Полотенце"/>
    <n v="34024.99"/>
    <n v="4"/>
    <s v="Казань"/>
    <n v="136099.96"/>
    <s v="2023-10"/>
    <n v="889"/>
  </r>
  <r>
    <n v="136"/>
    <d v="2023-10-30T00:00:00"/>
    <s v="Продукты"/>
    <s v="Шоколад"/>
    <n v="488.35"/>
    <n v="3"/>
    <s v="Санкт‑Петербург"/>
    <n v="1465.05"/>
    <s v="2023-10"/>
    <n v="1199"/>
  </r>
  <r>
    <n v="421"/>
    <d v="2023-10-30T00:00:00"/>
    <s v="Электроника"/>
    <s v="Планшет"/>
    <n v="64683.91"/>
    <n v="4"/>
    <s v="Москва"/>
    <n v="258735.64"/>
    <s v="2023-10"/>
    <n v="686"/>
  </r>
  <r>
    <n v="552"/>
    <d v="2023-10-30T00:00:00"/>
    <s v="Электроника"/>
    <s v="Планшет"/>
    <n v="39378.86"/>
    <n v="7"/>
    <s v="Новосибирск"/>
    <n v="275652.02"/>
    <s v="2023-10"/>
    <n v="661"/>
  </r>
  <r>
    <n v="658"/>
    <d v="2023-10-30T00:00:00"/>
    <s v="Электроника"/>
    <s v="Наушники"/>
    <n v="131130.12"/>
    <n v="3"/>
    <s v="Казань"/>
    <n v="393390.36"/>
    <s v="2023-10"/>
    <n v="530"/>
  </r>
  <r>
    <n v="1044"/>
    <d v="2023-10-30T00:00:00"/>
    <s v="Электроника"/>
    <s v="Смартфон"/>
    <n v="26574.06"/>
    <n v="9"/>
    <s v="Екатеринбург"/>
    <n v="239166.54"/>
    <s v="2023-10"/>
    <n v="724"/>
  </r>
  <r>
    <n v="1116"/>
    <d v="2023-10-30T00:00:00"/>
    <s v="Продукты"/>
    <s v="Молоко"/>
    <n v="40983.45"/>
    <n v="3"/>
    <s v="Москва"/>
    <n v="122950.35"/>
    <s v="2023-10"/>
    <n v="921"/>
  </r>
  <r>
    <n v="90"/>
    <d v="2023-10-31T00:00:00"/>
    <s v="Одежда"/>
    <s v="Кроссовки"/>
    <n v="128125.82"/>
    <n v="2"/>
    <s v="Екатеринбург"/>
    <n v="256251.64"/>
    <s v="2023-10"/>
    <n v="692"/>
  </r>
  <r>
    <n v="204"/>
    <d v="2023-10-31T00:00:00"/>
    <s v="Товары для дома"/>
    <s v="Кружка"/>
    <n v="61256.69"/>
    <n v="9"/>
    <s v="Московская область"/>
    <n v="551310.21"/>
    <s v="2023-10"/>
    <n v="366"/>
  </r>
  <r>
    <n v="108"/>
    <d v="2023-11-01T00:00:00"/>
    <s v="Продукты"/>
    <s v="Хлеб"/>
    <n v="131713.25"/>
    <n v="10"/>
    <s v="Новосибирск"/>
    <n v="1317132.5"/>
    <s v="2023-11"/>
    <n v="13"/>
  </r>
  <r>
    <n v="231"/>
    <d v="2023-11-01T00:00:00"/>
    <s v="Одежда"/>
    <s v="Футболка"/>
    <n v="116945.81"/>
    <n v="4"/>
    <s v="Санкт‑Петербург"/>
    <n v="467783.24"/>
    <s v="2023-11"/>
    <n v="436"/>
  </r>
  <r>
    <n v="383"/>
    <d v="2023-11-01T00:00:00"/>
    <s v="Товары для дома"/>
    <s v="Кружка"/>
    <n v="61736.58"/>
    <n v="1"/>
    <s v="Казань"/>
    <n v="61736.58"/>
    <s v="2023-11"/>
    <n v="1055"/>
  </r>
  <r>
    <n v="706"/>
    <d v="2023-11-01T00:00:00"/>
    <s v="Товары для дома"/>
    <s v="Кружка"/>
    <n v="120415.02"/>
    <n v="8"/>
    <s v="Казань"/>
    <n v="963320.16"/>
    <s v="2023-11"/>
    <n v="103"/>
  </r>
  <r>
    <n v="96"/>
    <d v="2023-11-02T00:00:00"/>
    <s v="Одежда"/>
    <s v="Футболка"/>
    <n v="98809.51"/>
    <n v="2"/>
    <s v="Москва"/>
    <n v="197619.02"/>
    <s v="2023-11"/>
    <n v="790"/>
  </r>
  <r>
    <n v="151"/>
    <d v="2023-11-02T00:00:00"/>
    <s v="Электроника"/>
    <s v="Планшет"/>
    <n v="133459.56"/>
    <n v="9"/>
    <s v="Московская область"/>
    <n v="1201136.04"/>
    <s v="2023-11"/>
    <n v="31"/>
  </r>
  <r>
    <n v="244"/>
    <d v="2023-11-02T00:00:00"/>
    <s v="Одежда"/>
    <s v="Футболка"/>
    <n v="137686.82"/>
    <n v="7"/>
    <s v="Московская область"/>
    <n v="963807.74"/>
    <s v="2023-11"/>
    <n v="102"/>
  </r>
  <r>
    <n v="428"/>
    <d v="2023-11-02T00:00:00"/>
    <s v="Товары для дома"/>
    <s v="Полотенце"/>
    <n v="21726.9"/>
    <n v="7"/>
    <s v="Екатеринбург"/>
    <n v="152088.3"/>
    <s v="2023-11"/>
    <n v="850"/>
  </r>
  <r>
    <n v="597"/>
    <d v="2023-11-02T00:00:00"/>
    <s v="Электроника"/>
    <s v="Планшет"/>
    <n v="77106.93"/>
    <n v="10"/>
    <s v="Московская область"/>
    <n v="771069.3"/>
    <s v="2023-11"/>
    <n v="215"/>
  </r>
  <r>
    <n v="493"/>
    <d v="2023-11-03T00:00:00"/>
    <s v="Товары для дома"/>
    <s v="Плед"/>
    <n v="28179.34"/>
    <n v="9"/>
    <s v="Санкт‑Петербург"/>
    <n v="253614.06"/>
    <s v="2023-11"/>
    <n v="699"/>
  </r>
  <r>
    <n v="833"/>
    <d v="2023-11-03T00:00:00"/>
    <s v="Товары для дома"/>
    <s v="Кружка"/>
    <n v="102518.84"/>
    <n v="9"/>
    <s v="Екатеринбург"/>
    <n v="922669.56"/>
    <s v="2023-11"/>
    <n v="120"/>
  </r>
  <r>
    <n v="1058"/>
    <d v="2023-11-03T00:00:00"/>
    <s v="Электроника"/>
    <s v="Ноутбук"/>
    <n v="14302.36"/>
    <n v="4"/>
    <s v="Санкт‑Петербург"/>
    <n v="57209.44"/>
    <s v="2023-11"/>
    <n v="1068"/>
  </r>
  <r>
    <n v="1121"/>
    <d v="2023-11-03T00:00:00"/>
    <s v="Электроника"/>
    <s v="Ноутбук"/>
    <n v="117699.62"/>
    <n v="8"/>
    <s v="Московская область"/>
    <n v="941596.96"/>
    <s v="2023-11"/>
    <n v="115"/>
  </r>
  <r>
    <n v="6"/>
    <d v="2023-11-04T00:00:00"/>
    <s v="Электроника"/>
    <s v="Наушники"/>
    <n v="59977.17"/>
    <n v="9"/>
    <s v="Москва"/>
    <n v="539794.53"/>
    <s v="2023-11"/>
    <n v="378"/>
  </r>
  <r>
    <n v="201"/>
    <d v="2023-11-04T00:00:00"/>
    <s v="Товары для дома"/>
    <s v="Полотенце"/>
    <n v="19124.56"/>
    <n v="4"/>
    <s v="Екатеринбург"/>
    <n v="76498.24"/>
    <s v="2023-11"/>
    <n v="1025"/>
  </r>
  <r>
    <n v="445"/>
    <d v="2023-11-04T00:00:00"/>
    <s v="Одежда"/>
    <s v="Куртка"/>
    <n v="143651.5"/>
    <n v="2"/>
    <s v="Московская область"/>
    <n v="287303"/>
    <s v="2023-11"/>
    <n v="644"/>
  </r>
  <r>
    <n v="767"/>
    <d v="2023-11-04T00:00:00"/>
    <s v="Одежда"/>
    <s v="Куртка"/>
    <n v="34040"/>
    <n v="6"/>
    <s v="Екатеринбург"/>
    <n v="204240"/>
    <s v="2023-11"/>
    <n v="782"/>
  </r>
  <r>
    <n v="1098"/>
    <d v="2023-11-04T00:00:00"/>
    <s v="Одежда"/>
    <s v="Джинсы"/>
    <n v="4851.47"/>
    <n v="10"/>
    <s v="Москва"/>
    <n v="48514.7"/>
    <s v="2023-11"/>
    <n v="1089"/>
  </r>
  <r>
    <n v="840"/>
    <d v="2023-11-05T00:00:00"/>
    <s v="Товары для дома"/>
    <s v="Кружка"/>
    <n v="110331.59"/>
    <n v="8"/>
    <s v="Московская область"/>
    <n v="882652.72"/>
    <s v="2023-11"/>
    <n v="143"/>
  </r>
  <r>
    <n v="1023"/>
    <d v="2023-11-05T00:00:00"/>
    <s v="Электроника"/>
    <s v="Ноутбук"/>
    <n v="13575.16"/>
    <n v="6"/>
    <s v="Екатеринбург"/>
    <n v="81450.96"/>
    <s v="2023-11"/>
    <n v="1011"/>
  </r>
  <r>
    <n v="1026"/>
    <d v="2023-11-05T00:00:00"/>
    <s v="Продукты"/>
    <s v="Хлеб"/>
    <n v="64362.67"/>
    <n v="7"/>
    <s v="Новосибирск"/>
    <n v="450538.69"/>
    <s v="2023-11"/>
    <n v="451"/>
  </r>
  <r>
    <n v="102"/>
    <d v="2023-11-06T00:00:00"/>
    <s v="Одежда"/>
    <s v="Футболка"/>
    <n v="61412.57"/>
    <n v="3"/>
    <s v="Екатеринбург"/>
    <n v="184237.71"/>
    <s v="2023-11"/>
    <n v="810"/>
  </r>
  <r>
    <n v="198"/>
    <d v="2023-11-06T00:00:00"/>
    <s v="Одежда"/>
    <s v="Джинсы"/>
    <n v="16466.65"/>
    <n v="8"/>
    <s v="Екатеринбург"/>
    <n v="131733.2"/>
    <s v="2023-11"/>
    <n v="900"/>
  </r>
  <r>
    <n v="672"/>
    <d v="2023-11-06T00:00:00"/>
    <s v="Товары для дома"/>
    <s v="Подушка"/>
    <n v="32139.91"/>
    <n v="1"/>
    <s v="Москва"/>
    <n v="32139.91"/>
    <s v="2023-11"/>
    <n v="1120"/>
  </r>
  <r>
    <n v="1005"/>
    <d v="2023-11-06T00:00:00"/>
    <s v="Электроника"/>
    <s v="Наушники"/>
    <n v="112924.93"/>
    <n v="5"/>
    <s v="Казань"/>
    <n v="564624.65"/>
    <s v="2023-11"/>
    <n v="356"/>
  </r>
  <r>
    <n v="1077"/>
    <d v="2023-11-06T00:00:00"/>
    <s v="Одежда"/>
    <s v="Футболка"/>
    <n v="31925.36"/>
    <n v="1"/>
    <s v="Новосибирск"/>
    <n v="31925.36"/>
    <s v="2023-11"/>
    <n v="1121"/>
  </r>
  <r>
    <n v="111"/>
    <d v="2023-11-07T00:00:00"/>
    <s v="Товары для дома"/>
    <s v="Подушка"/>
    <n v="141268.19"/>
    <n v="1"/>
    <s v="Казань"/>
    <n v="141268.19"/>
    <s v="2023-11"/>
    <n v="874"/>
  </r>
  <r>
    <n v="398"/>
    <d v="2023-11-07T00:00:00"/>
    <s v="Одежда"/>
    <s v="Футболка"/>
    <n v="57315.42"/>
    <n v="2"/>
    <s v="Московская область"/>
    <n v="114630.84"/>
    <s v="2023-11"/>
    <n v="940"/>
  </r>
  <r>
    <n v="525"/>
    <d v="2023-11-07T00:00:00"/>
    <s v="Электроника"/>
    <s v="Ноутбук"/>
    <n v="105177.14"/>
    <n v="3"/>
    <s v="Москва"/>
    <n v="315531.42"/>
    <s v="2023-11"/>
    <n v="619"/>
  </r>
  <r>
    <n v="587"/>
    <d v="2023-11-07T00:00:00"/>
    <s v="Товары для дома"/>
    <s v="Подушка"/>
    <n v="135062.09"/>
    <n v="4"/>
    <s v="Москва"/>
    <n v="540248.36"/>
    <s v="2023-11"/>
    <n v="376"/>
  </r>
  <r>
    <n v="942"/>
    <d v="2023-11-07T00:00:00"/>
    <s v="Одежда"/>
    <s v="Кроссовки"/>
    <n v="145751.73"/>
    <n v="3"/>
    <s v="Екатеринбург"/>
    <n v="437255.19"/>
    <s v="2023-11"/>
    <n v="474"/>
  </r>
  <r>
    <n v="1018"/>
    <d v="2023-11-07T00:00:00"/>
    <s v="Продукты"/>
    <s v="Кофе"/>
    <n v="114614.53"/>
    <n v="7"/>
    <s v="Москва"/>
    <n v="802301.71"/>
    <s v="2023-11"/>
    <n v="196"/>
  </r>
  <r>
    <n v="1024"/>
    <d v="2023-11-07T00:00:00"/>
    <s v="Товары для дома"/>
    <s v="Полотенце"/>
    <n v="60077.67"/>
    <n v="2"/>
    <s v="Казань"/>
    <n v="120155.34"/>
    <s v="2023-11"/>
    <n v="925"/>
  </r>
  <r>
    <n v="479"/>
    <d v="2023-11-08T00:00:00"/>
    <s v="Одежда"/>
    <s v="Джинсы"/>
    <n v="82055.69"/>
    <n v="3"/>
    <s v="Московская область"/>
    <n v="246167.07"/>
    <s v="2023-11"/>
    <n v="708"/>
  </r>
  <r>
    <n v="849"/>
    <d v="2023-11-08T00:00:00"/>
    <s v="Товары для дома"/>
    <s v="Плед"/>
    <n v="28003.09"/>
    <n v="7"/>
    <s v="Казань"/>
    <n v="196021.63"/>
    <s v="2023-11"/>
    <n v="791"/>
  </r>
  <r>
    <n v="904"/>
    <d v="2023-11-08T00:00:00"/>
    <s v="Продукты"/>
    <s v="Хлеб"/>
    <n v="90149.48"/>
    <n v="10"/>
    <s v="Москва"/>
    <n v="901494.8"/>
    <s v="2023-11"/>
    <n v="135"/>
  </r>
  <r>
    <n v="1117"/>
    <d v="2023-11-08T00:00:00"/>
    <s v="Электроника"/>
    <s v="Планшет"/>
    <n v="143043.58"/>
    <n v="7"/>
    <s v="Москва"/>
    <n v="1001305.06"/>
    <s v="2023-11"/>
    <n v="88"/>
  </r>
  <r>
    <n v="262"/>
    <d v="2023-11-09T00:00:00"/>
    <s v="Электроника"/>
    <s v="Ноутбук"/>
    <n v="47881.89"/>
    <n v="1"/>
    <s v="Санкт‑Петербург"/>
    <n v="47881.89"/>
    <s v="2023-11"/>
    <n v="1091"/>
  </r>
  <r>
    <n v="1184"/>
    <d v="2023-11-09T00:00:00"/>
    <s v="Одежда"/>
    <s v="Футболка"/>
    <n v="18376.14"/>
    <n v="8"/>
    <s v="Екатеринбург"/>
    <n v="147009.12"/>
    <s v="2023-11"/>
    <n v="861"/>
  </r>
  <r>
    <n v="361"/>
    <d v="2023-11-10T00:00:00"/>
    <s v="Одежда"/>
    <s v="Футболка"/>
    <n v="75118.76"/>
    <n v="7"/>
    <s v="Московская область"/>
    <n v="525831.32"/>
    <s v="2023-11"/>
    <n v="389"/>
  </r>
  <r>
    <n v="848"/>
    <d v="2023-11-10T00:00:00"/>
    <s v="Одежда"/>
    <s v="Джинсы"/>
    <n v="86561.39"/>
    <n v="8"/>
    <s v="Санкт‑Петербург"/>
    <n v="692491.12"/>
    <s v="2023-11"/>
    <n v="268"/>
  </r>
  <r>
    <n v="228"/>
    <d v="2023-11-11T00:00:00"/>
    <s v="Продукты"/>
    <s v="Шоколад"/>
    <n v="2847.76"/>
    <n v="6"/>
    <s v="Санкт‑Петербург"/>
    <n v="17086.56"/>
    <s v="2023-11"/>
    <n v="1161"/>
  </r>
  <r>
    <n v="702"/>
    <d v="2023-11-11T00:00:00"/>
    <s v="Товары для дома"/>
    <s v="Полотенце"/>
    <n v="71891.66"/>
    <n v="2"/>
    <s v="Москва"/>
    <n v="143783.32"/>
    <s v="2023-11"/>
    <n v="868"/>
  </r>
  <r>
    <n v="79"/>
    <d v="2023-11-12T00:00:00"/>
    <s v="Электроника"/>
    <s v="Смартфон"/>
    <n v="29193.14"/>
    <n v="8"/>
    <s v="Санкт‑Петербург"/>
    <n v="233545.12"/>
    <s v="2023-11"/>
    <n v="735"/>
  </r>
  <r>
    <n v="1008"/>
    <d v="2023-11-12T00:00:00"/>
    <s v="Товары для дома"/>
    <s v="Полотенце"/>
    <n v="125467.53"/>
    <n v="1"/>
    <s v="Казань"/>
    <n v="125467.53"/>
    <s v="2023-11"/>
    <n v="914"/>
  </r>
  <r>
    <n v="1056"/>
    <d v="2023-11-12T00:00:00"/>
    <s v="Товары для дома"/>
    <s v="Плед"/>
    <n v="125262.96"/>
    <n v="6"/>
    <s v="Новосибирск"/>
    <n v="751577.76"/>
    <s v="2023-11"/>
    <n v="228"/>
  </r>
  <r>
    <n v="611"/>
    <d v="2023-11-13T00:00:00"/>
    <s v="Товары для дома"/>
    <s v="Кружка"/>
    <n v="132008.41"/>
    <n v="9"/>
    <s v="Московская область"/>
    <n v="1188075.69"/>
    <s v="2023-11"/>
    <n v="36"/>
  </r>
  <r>
    <n v="831"/>
    <d v="2023-11-13T00:00:00"/>
    <s v="Электроника"/>
    <s v="Планшет"/>
    <n v="39650.98"/>
    <n v="10"/>
    <s v="Екатеринбург"/>
    <n v="396509.8"/>
    <s v="2023-11"/>
    <n v="524"/>
  </r>
  <r>
    <n v="364"/>
    <d v="2023-11-14T00:00:00"/>
    <s v="Одежда"/>
    <s v="Кроссовки"/>
    <n v="113339.67"/>
    <n v="6"/>
    <s v="Новосибирск"/>
    <n v="680038.02"/>
    <s v="2023-11"/>
    <n v="279"/>
  </r>
  <r>
    <n v="527"/>
    <d v="2023-11-14T00:00:00"/>
    <s v="Одежда"/>
    <s v="Футболка"/>
    <n v="135175.62"/>
    <n v="3"/>
    <s v="Екатеринбург"/>
    <n v="405526.86"/>
    <s v="2023-11"/>
    <n v="510"/>
  </r>
  <r>
    <n v="664"/>
    <d v="2023-11-14T00:00:00"/>
    <s v="Одежда"/>
    <s v="Кроссовки"/>
    <n v="140104.75"/>
    <n v="2"/>
    <s v="Казань"/>
    <n v="280209.5"/>
    <s v="2023-11"/>
    <n v="657"/>
  </r>
  <r>
    <n v="675"/>
    <d v="2023-11-14T00:00:00"/>
    <s v="Товары для дома"/>
    <s v="Плед"/>
    <n v="91928.51"/>
    <n v="5"/>
    <s v="Новосибирск"/>
    <n v="459642.55"/>
    <s v="2023-11"/>
    <n v="442"/>
  </r>
  <r>
    <n v="689"/>
    <d v="2023-11-14T00:00:00"/>
    <s v="Продукты"/>
    <s v="Хлеб"/>
    <n v="56031.8"/>
    <n v="9"/>
    <s v="Казань"/>
    <n v="504286.2"/>
    <s v="2023-11"/>
    <n v="407"/>
  </r>
  <r>
    <n v="1014"/>
    <d v="2023-11-14T00:00:00"/>
    <s v="Товары для дома"/>
    <s v="Полотенце"/>
    <n v="147411.78"/>
    <n v="2"/>
    <s v="Новосибирск"/>
    <n v="294823.56"/>
    <s v="2023-11"/>
    <n v="639"/>
  </r>
  <r>
    <n v="629"/>
    <d v="2023-11-15T00:00:00"/>
    <s v="Товары для дома"/>
    <s v="Подушка"/>
    <n v="2898.91"/>
    <n v="6"/>
    <s v="Московская область"/>
    <n v="17393.46"/>
    <s v="2023-11"/>
    <n v="1160"/>
  </r>
  <r>
    <n v="995"/>
    <d v="2023-11-15T00:00:00"/>
    <s v="Электроника"/>
    <s v="Наушники"/>
    <n v="127468.89"/>
    <n v="10"/>
    <s v="Московская область"/>
    <n v="1274688.9"/>
    <s v="2023-11"/>
    <n v="21"/>
  </r>
  <r>
    <n v="1011"/>
    <d v="2023-11-16T00:00:00"/>
    <s v="Электроника"/>
    <s v="Ноутбук"/>
    <n v="35581.97"/>
    <n v="2"/>
    <s v="Москва"/>
    <n v="71163.94"/>
    <s v="2023-11"/>
    <n v="1038"/>
  </r>
  <r>
    <n v="82"/>
    <d v="2023-11-17T00:00:00"/>
    <s v="Продукты"/>
    <s v="Молоко"/>
    <n v="85731.29"/>
    <n v="6"/>
    <s v="Екатеринбург"/>
    <n v="514387.74"/>
    <s v="2023-11"/>
    <n v="396"/>
  </r>
  <r>
    <n v="589"/>
    <d v="2023-11-17T00:00:00"/>
    <s v="Продукты"/>
    <s v="Молоко"/>
    <n v="122923.55"/>
    <n v="2"/>
    <s v="Казань"/>
    <n v="245847.1"/>
    <s v="2023-11"/>
    <n v="710"/>
  </r>
  <r>
    <n v="749"/>
    <d v="2023-11-17T00:00:00"/>
    <s v="Электроника"/>
    <s v="Смартфон"/>
    <n v="126723.09"/>
    <n v="5"/>
    <s v="Новосибирск"/>
    <n v="633615.45"/>
    <s v="2023-11"/>
    <n v="302"/>
  </r>
  <r>
    <n v="845"/>
    <d v="2023-11-17T00:00:00"/>
    <s v="Продукты"/>
    <s v="Молоко"/>
    <n v="49934.1"/>
    <n v="6"/>
    <s v="Казань"/>
    <n v="299604.6"/>
    <s v="2023-11"/>
    <n v="632"/>
  </r>
  <r>
    <n v="192"/>
    <d v="2023-11-18T00:00:00"/>
    <s v="Товары для дома"/>
    <s v="Полотенце"/>
    <n v="104139.34"/>
    <n v="3"/>
    <s v="Московская область"/>
    <n v="312418.02"/>
    <s v="2023-11"/>
    <n v="624"/>
  </r>
  <r>
    <n v="1049"/>
    <d v="2023-11-18T00:00:00"/>
    <s v="Продукты"/>
    <s v="Хлеб"/>
    <n v="56408.51"/>
    <n v="8"/>
    <s v="Екатеринбург"/>
    <n v="451268.08"/>
    <s v="2023-11"/>
    <n v="450"/>
  </r>
  <r>
    <n v="83"/>
    <d v="2023-11-19T00:00:00"/>
    <s v="Продукты"/>
    <s v="Молоко"/>
    <n v="147163.62"/>
    <n v="4"/>
    <s v="Московская область"/>
    <n v="588654.48"/>
    <s v="2023-11"/>
    <n v="329"/>
  </r>
  <r>
    <n v="183"/>
    <d v="2023-11-19T00:00:00"/>
    <s v="Товары для дома"/>
    <s v="Полотенце"/>
    <n v="34901.3"/>
    <n v="10"/>
    <s v="Казань"/>
    <n v="349013"/>
    <s v="2023-11"/>
    <n v="589"/>
  </r>
  <r>
    <n v="245"/>
    <d v="2023-11-19T00:00:00"/>
    <s v="Продукты"/>
    <s v="Кофе"/>
    <n v="113947.52"/>
    <n v="6"/>
    <s v="Московская область"/>
    <n v="683685.12"/>
    <s v="2023-11"/>
    <n v="277"/>
  </r>
  <r>
    <n v="308"/>
    <d v="2023-11-19T00:00:00"/>
    <s v="Продукты"/>
    <s v="Молоко"/>
    <n v="80267.53"/>
    <n v="3"/>
    <s v="Московская область"/>
    <n v="240802.59"/>
    <s v="2023-11"/>
    <n v="721"/>
  </r>
  <r>
    <n v="447"/>
    <d v="2023-11-19T00:00:00"/>
    <s v="Одежда"/>
    <s v="Футболка"/>
    <n v="74467.32"/>
    <n v="8"/>
    <s v="Санкт‑Петербург"/>
    <n v="595738.56"/>
    <s v="2023-11"/>
    <n v="321"/>
  </r>
  <r>
    <n v="466"/>
    <d v="2023-11-19T00:00:00"/>
    <s v="Одежда"/>
    <s v="Куртка"/>
    <n v="100076.16"/>
    <n v="5"/>
    <s v="Санкт‑Петербург"/>
    <n v="500380.8"/>
    <s v="2023-11"/>
    <n v="409"/>
  </r>
  <r>
    <n v="937"/>
    <d v="2023-11-19T00:00:00"/>
    <s v="Электроника"/>
    <s v="Наушники"/>
    <n v="24745.48"/>
    <n v="3"/>
    <s v="Казань"/>
    <n v="74236.44"/>
    <s v="2023-11"/>
    <n v="1030"/>
  </r>
  <r>
    <n v="810"/>
    <d v="2023-11-20T00:00:00"/>
    <s v="Товары для дома"/>
    <s v="Плед"/>
    <n v="30436.19"/>
    <n v="1"/>
    <s v="Екатеринбург"/>
    <n v="30436.19"/>
    <s v="2023-11"/>
    <n v="1126"/>
  </r>
  <r>
    <n v="97"/>
    <d v="2023-11-21T00:00:00"/>
    <s v="Электроника"/>
    <s v="Ноутбук"/>
    <n v="124608.51"/>
    <n v="5"/>
    <s v="Екатеринбург"/>
    <n v="623042.55"/>
    <s v="2023-11"/>
    <n v="307"/>
  </r>
  <r>
    <n v="202"/>
    <d v="2023-11-21T00:00:00"/>
    <s v="Электроника"/>
    <s v="Планшет"/>
    <n v="111331.35"/>
    <n v="6"/>
    <s v="Московская область"/>
    <n v="667988.1"/>
    <s v="2023-11"/>
    <n v="288"/>
  </r>
  <r>
    <n v="543"/>
    <d v="2023-11-21T00:00:00"/>
    <s v="Одежда"/>
    <s v="Куртка"/>
    <n v="39545.04"/>
    <n v="3"/>
    <s v="Казань"/>
    <n v="118635.12"/>
    <s v="2023-11"/>
    <n v="930"/>
  </r>
  <r>
    <n v="187"/>
    <d v="2023-11-22T00:00:00"/>
    <s v="Электроника"/>
    <s v="Планшет"/>
    <n v="145261.27"/>
    <n v="7"/>
    <s v="Москва"/>
    <n v="1016828.89"/>
    <s v="2023-11"/>
    <n v="83"/>
  </r>
  <r>
    <n v="322"/>
    <d v="2023-11-22T00:00:00"/>
    <s v="Электроника"/>
    <s v="Планшет"/>
    <n v="92782.53"/>
    <n v="1"/>
    <s v="Санкт‑Петербург"/>
    <n v="92782.53"/>
    <s v="2023-11"/>
    <n v="983"/>
  </r>
  <r>
    <n v="426"/>
    <d v="2023-11-22T00:00:00"/>
    <s v="Продукты"/>
    <s v="Молоко"/>
    <n v="10977.55"/>
    <n v="1"/>
    <s v="Москва"/>
    <n v="10977.55"/>
    <s v="2023-11"/>
    <n v="1182"/>
  </r>
  <r>
    <n v="678"/>
    <d v="2023-11-22T00:00:00"/>
    <s v="Одежда"/>
    <s v="Куртка"/>
    <n v="61499.92"/>
    <n v="7"/>
    <s v="Москва"/>
    <n v="430499.44"/>
    <s v="2023-11"/>
    <n v="483"/>
  </r>
  <r>
    <n v="1042"/>
    <d v="2023-11-22T00:00:00"/>
    <s v="Электроника"/>
    <s v="Наушники"/>
    <n v="38064.6"/>
    <n v="8"/>
    <s v="Москва"/>
    <n v="304516.8"/>
    <s v="2023-11"/>
    <n v="629"/>
  </r>
  <r>
    <n v="1197"/>
    <d v="2023-11-22T00:00:00"/>
    <s v="Продукты"/>
    <s v="Шоколад"/>
    <n v="124833.97"/>
    <n v="8"/>
    <s v="Санкт‑Петербург"/>
    <n v="998671.76"/>
    <s v="2023-11"/>
    <n v="90"/>
  </r>
  <r>
    <n v="64"/>
    <d v="2023-11-23T00:00:00"/>
    <s v="Товары для дома"/>
    <s v="Кружка"/>
    <n v="19927.87"/>
    <n v="3"/>
    <s v="Московская область"/>
    <n v="59783.61"/>
    <s v="2023-11"/>
    <n v="1060"/>
  </r>
  <r>
    <n v="330"/>
    <d v="2023-11-23T00:00:00"/>
    <s v="Товары для дома"/>
    <s v="Плед"/>
    <n v="11810.29"/>
    <n v="8"/>
    <s v="Новосибирск"/>
    <n v="94482.32"/>
    <s v="2023-11"/>
    <n v="982"/>
  </r>
  <r>
    <n v="684"/>
    <d v="2023-11-23T00:00:00"/>
    <s v="Продукты"/>
    <s v="Хлеб"/>
    <n v="54709.84"/>
    <n v="2"/>
    <s v="Москва"/>
    <n v="109419.68"/>
    <s v="2023-11"/>
    <n v="951"/>
  </r>
  <r>
    <n v="716"/>
    <d v="2023-11-23T00:00:00"/>
    <s v="Товары для дома"/>
    <s v="Кружка"/>
    <n v="129723.56"/>
    <n v="5"/>
    <s v="Екатеринбург"/>
    <n v="648617.8"/>
    <s v="2023-11"/>
    <n v="296"/>
  </r>
  <r>
    <n v="243"/>
    <d v="2023-11-24T00:00:00"/>
    <s v="Продукты"/>
    <s v="Молоко"/>
    <n v="67090.67"/>
    <n v="4"/>
    <s v="Новосибирск"/>
    <n v="268362.68"/>
    <s v="2023-11"/>
    <n v="671"/>
  </r>
  <r>
    <n v="694"/>
    <d v="2023-11-24T00:00:00"/>
    <s v="Электроника"/>
    <s v="Смартфон"/>
    <n v="135410.37"/>
    <n v="5"/>
    <s v="Московская область"/>
    <n v="677051.85"/>
    <s v="2023-11"/>
    <n v="281"/>
  </r>
  <r>
    <n v="701"/>
    <d v="2023-11-24T00:00:00"/>
    <s v="Электроника"/>
    <s v="Смартфон"/>
    <n v="51260.99"/>
    <n v="1"/>
    <s v="Москва"/>
    <n v="51260.99"/>
    <s v="2023-11"/>
    <n v="1082"/>
  </r>
  <r>
    <n v="729"/>
    <d v="2023-11-24T00:00:00"/>
    <s v="Электроника"/>
    <s v="Планшет"/>
    <n v="80711.66"/>
    <n v="1"/>
    <s v="Екатеринбург"/>
    <n v="80711.66"/>
    <s v="2023-11"/>
    <n v="1013"/>
  </r>
  <r>
    <n v="1037"/>
    <d v="2023-11-24T00:00:00"/>
    <s v="Электроника"/>
    <s v="Наушники"/>
    <n v="47615.62"/>
    <n v="7"/>
    <s v="Московская область"/>
    <n v="333309.34"/>
    <s v="2023-11"/>
    <n v="596"/>
  </r>
  <r>
    <n v="1162"/>
    <d v="2023-11-24T00:00:00"/>
    <s v="Одежда"/>
    <s v="Кроссовки"/>
    <n v="136104.19"/>
    <n v="7"/>
    <s v="Москва"/>
    <n v="952729.33"/>
    <s v="2023-11"/>
    <n v="109"/>
  </r>
  <r>
    <n v="316"/>
    <d v="2023-11-25T00:00:00"/>
    <s v="Электроника"/>
    <s v="Наушники"/>
    <n v="81895.51"/>
    <n v="1"/>
    <s v="Казань"/>
    <n v="81895.51"/>
    <s v="2023-11"/>
    <n v="1010"/>
  </r>
  <r>
    <n v="901"/>
    <d v="2023-11-25T00:00:00"/>
    <s v="Продукты"/>
    <s v="Шоколад"/>
    <n v="133267.86"/>
    <n v="6"/>
    <s v="Московская область"/>
    <n v="799607.16"/>
    <s v="2023-11"/>
    <n v="198"/>
  </r>
  <r>
    <n v="17"/>
    <d v="2023-11-26T00:00:00"/>
    <s v="Одежда"/>
    <s v="Джинсы"/>
    <n v="88263.35"/>
    <n v="5"/>
    <s v="Московская область"/>
    <n v="441316.75"/>
    <s v="2023-11"/>
    <n v="466"/>
  </r>
  <r>
    <n v="92"/>
    <d v="2023-11-26T00:00:00"/>
    <s v="Одежда"/>
    <s v="Куртка"/>
    <n v="65893.6"/>
    <n v="2"/>
    <s v="Казань"/>
    <n v="131787.2"/>
    <s v="2023-11"/>
    <n v="899"/>
  </r>
  <r>
    <n v="203"/>
    <d v="2023-11-27T00:00:00"/>
    <s v="Одежда"/>
    <s v="Кроссовки"/>
    <n v="49426.49"/>
    <n v="8"/>
    <s v="Новосибирск"/>
    <n v="395411.92"/>
    <s v="2023-11"/>
    <n v="526"/>
  </r>
  <r>
    <n v="423"/>
    <d v="2023-11-27T00:00:00"/>
    <s v="Продукты"/>
    <s v="Шоколад"/>
    <n v="36470.76"/>
    <n v="8"/>
    <s v="Москва"/>
    <n v="291766.08"/>
    <s v="2023-11"/>
    <n v="641"/>
  </r>
  <r>
    <n v="451"/>
    <d v="2023-11-27T00:00:00"/>
    <s v="Продукты"/>
    <s v="Молоко"/>
    <n v="92025.96"/>
    <n v="5"/>
    <s v="Казань"/>
    <n v="460129.8"/>
    <s v="2023-11"/>
    <n v="441"/>
  </r>
  <r>
    <n v="621"/>
    <d v="2023-11-27T00:00:00"/>
    <s v="Продукты"/>
    <s v="Хлеб"/>
    <n v="137310.11"/>
    <n v="6"/>
    <s v="Новосибирск"/>
    <n v="823860.66"/>
    <s v="2023-11"/>
    <n v="181"/>
  </r>
  <r>
    <n v="631"/>
    <d v="2023-11-27T00:00:00"/>
    <s v="Товары для дома"/>
    <s v="Подушка"/>
    <n v="9789.6"/>
    <n v="4"/>
    <s v="Казань"/>
    <n v="39158.4"/>
    <s v="2023-11"/>
    <n v="1108"/>
  </r>
  <r>
    <n v="1003"/>
    <d v="2023-11-27T00:00:00"/>
    <s v="Электроника"/>
    <s v="Ноутбук"/>
    <n v="59952.82"/>
    <n v="5"/>
    <s v="Москва"/>
    <n v="299764.1"/>
    <s v="2023-11"/>
    <n v="631"/>
  </r>
  <r>
    <n v="1127"/>
    <d v="2023-11-27T00:00:00"/>
    <s v="Товары для дома"/>
    <s v="Плед"/>
    <n v="100059.73"/>
    <n v="8"/>
    <s v="Московская область"/>
    <n v="800477.84"/>
    <s v="2023-11"/>
    <n v="197"/>
  </r>
  <r>
    <n v="535"/>
    <d v="2023-11-28T00:00:00"/>
    <s v="Товары для дома"/>
    <s v="Полотенце"/>
    <n v="142742.21"/>
    <n v="8"/>
    <s v="Новосибирск"/>
    <n v="1141937.68"/>
    <s v="2023-11"/>
    <n v="51"/>
  </r>
  <r>
    <n v="884"/>
    <d v="2023-11-29T00:00:00"/>
    <s v="Одежда"/>
    <s v="Джинсы"/>
    <n v="85668.76"/>
    <n v="5"/>
    <s v="Санкт‑Петербург"/>
    <n v="428343.8"/>
    <s v="2023-11"/>
    <n v="486"/>
  </r>
  <r>
    <n v="1017"/>
    <d v="2023-11-29T00:00:00"/>
    <s v="Товары для дома"/>
    <s v="Полотенце"/>
    <n v="32988.03"/>
    <n v="8"/>
    <s v="Екатеринбург"/>
    <n v="263904.24"/>
    <s v="2023-11"/>
    <n v="680"/>
  </r>
  <r>
    <n v="1054"/>
    <d v="2023-11-29T00:00:00"/>
    <s v="Продукты"/>
    <s v="Шоколад"/>
    <n v="46343.65"/>
    <n v="3"/>
    <s v="Московская область"/>
    <n v="139030.95"/>
    <s v="2023-11"/>
    <n v="879"/>
  </r>
  <r>
    <n v="26"/>
    <d v="2023-11-30T00:00:00"/>
    <s v="Одежда"/>
    <s v="Джинсы"/>
    <n v="144655.34"/>
    <n v="9"/>
    <s v="Казань"/>
    <n v="1301898.06"/>
    <s v="2023-11"/>
    <n v="17"/>
  </r>
  <r>
    <n v="234"/>
    <d v="2023-11-30T00:00:00"/>
    <s v="Товары для дома"/>
    <s v="Плед"/>
    <n v="18152.85"/>
    <n v="6"/>
    <s v="Санкт‑Петербург"/>
    <n v="108917.1"/>
    <s v="2023-11"/>
    <n v="952"/>
  </r>
  <r>
    <n v="271"/>
    <d v="2023-11-30T00:00:00"/>
    <s v="Товары для дома"/>
    <s v="Полотенце"/>
    <n v="124806.53"/>
    <n v="1"/>
    <s v="Екатеринбург"/>
    <n v="124806.53"/>
    <s v="2023-11"/>
    <n v="915"/>
  </r>
  <r>
    <n v="660"/>
    <d v="2023-11-30T00:00:00"/>
    <s v="Товары для дома"/>
    <s v="Полотенце"/>
    <n v="26265.72"/>
    <n v="3"/>
    <s v="Казань"/>
    <n v="78797.16"/>
    <s v="2023-11"/>
    <n v="1019"/>
  </r>
  <r>
    <n v="670"/>
    <d v="2023-11-30T00:00:00"/>
    <s v="Электроника"/>
    <s v="Планшет"/>
    <n v="76819.68"/>
    <n v="7"/>
    <s v="Новосибирск"/>
    <n v="537737.76"/>
    <s v="2023-11"/>
    <n v="380"/>
  </r>
  <r>
    <n v="112"/>
    <d v="2023-12-01T00:00:00"/>
    <s v="Электроника"/>
    <s v="Ноутбук"/>
    <n v="63371.3"/>
    <n v="6"/>
    <s v="Санкт‑Петербург"/>
    <n v="380227.8"/>
    <s v="2023-12"/>
    <n v="548"/>
  </r>
  <r>
    <n v="513"/>
    <d v="2023-12-01T00:00:00"/>
    <s v="Товары для дома"/>
    <s v="Кружка"/>
    <n v="14014.57"/>
    <n v="10"/>
    <s v="Московская область"/>
    <n v="140145.7"/>
    <s v="2023-12"/>
    <n v="876"/>
  </r>
  <r>
    <n v="961"/>
    <d v="2023-12-01T00:00:00"/>
    <s v="Продукты"/>
    <s v="Шоколад"/>
    <n v="91339.75"/>
    <n v="10"/>
    <s v="Москва"/>
    <n v="913397.5"/>
    <s v="2023-12"/>
    <n v="131"/>
  </r>
  <r>
    <n v="276"/>
    <d v="2023-12-02T00:00:00"/>
    <s v="Товары для дома"/>
    <s v="Полотенце"/>
    <n v="14023.46"/>
    <n v="9"/>
    <s v="Московская область"/>
    <n v="126211.14"/>
    <s v="2023-12"/>
    <n v="912"/>
  </r>
  <r>
    <n v="551"/>
    <d v="2023-12-02T00:00:00"/>
    <s v="Товары для дома"/>
    <s v="Подушка"/>
    <n v="35577.99"/>
    <n v="7"/>
    <s v="Екатеринбург"/>
    <n v="249045.93"/>
    <s v="2023-12"/>
    <n v="705"/>
  </r>
  <r>
    <n v="983"/>
    <d v="2023-12-02T00:00:00"/>
    <s v="Товары для дома"/>
    <s v="Полотенце"/>
    <n v="87452.28"/>
    <n v="5"/>
    <s v="Екатеринбург"/>
    <n v="437261.4"/>
    <s v="2023-12"/>
    <n v="473"/>
  </r>
  <r>
    <n v="1114"/>
    <d v="2023-12-02T00:00:00"/>
    <s v="Продукты"/>
    <s v="Хлеб"/>
    <n v="111431.05"/>
    <n v="6"/>
    <s v="Екатеринбург"/>
    <n v="668586.3"/>
    <s v="2023-12"/>
    <n v="287"/>
  </r>
  <r>
    <n v="375"/>
    <d v="2023-12-03T00:00:00"/>
    <s v="Одежда"/>
    <s v="Кроссовки"/>
    <n v="52058.65"/>
    <n v="4"/>
    <s v="Екатеринбург"/>
    <n v="208234.6"/>
    <s v="2023-12"/>
    <n v="779"/>
  </r>
  <r>
    <n v="496"/>
    <d v="2023-12-03T00:00:00"/>
    <s v="Товары для дома"/>
    <s v="Подушка"/>
    <n v="80827.14"/>
    <n v="2"/>
    <s v="Казань"/>
    <n v="161654.28"/>
    <s v="2023-12"/>
    <n v="837"/>
  </r>
  <r>
    <n v="613"/>
    <d v="2023-12-03T00:00:00"/>
    <s v="Одежда"/>
    <s v="Кроссовки"/>
    <n v="97891.69"/>
    <n v="1"/>
    <s v="Новосибирск"/>
    <n v="97891.69"/>
    <s v="2023-12"/>
    <n v="974"/>
  </r>
  <r>
    <n v="1157"/>
    <d v="2023-12-03T00:00:00"/>
    <s v="Товары для дома"/>
    <s v="Подушка"/>
    <n v="97419.02"/>
    <n v="9"/>
    <s v="Москва"/>
    <n v="876771.18"/>
    <s v="2023-12"/>
    <n v="145"/>
  </r>
  <r>
    <n v="321"/>
    <d v="2023-12-04T00:00:00"/>
    <s v="Одежда"/>
    <s v="Джинсы"/>
    <n v="65109.41"/>
    <n v="2"/>
    <s v="Екатеринбург"/>
    <n v="130218.82"/>
    <s v="2023-12"/>
    <n v="902"/>
  </r>
  <r>
    <n v="681"/>
    <d v="2023-12-04T00:00:00"/>
    <s v="Одежда"/>
    <s v="Футболка"/>
    <n v="77398.57"/>
    <n v="7"/>
    <s v="Московская область"/>
    <n v="541789.99"/>
    <s v="2023-12"/>
    <n v="374"/>
  </r>
  <r>
    <n v="956"/>
    <d v="2023-12-04T00:00:00"/>
    <s v="Товары для дома"/>
    <s v="Полотенце"/>
    <n v="115001.95"/>
    <n v="7"/>
    <s v="Новосибирск"/>
    <n v="805013.65"/>
    <s v="2023-12"/>
    <n v="191"/>
  </r>
  <r>
    <n v="1001"/>
    <d v="2023-12-04T00:00:00"/>
    <s v="Электроника"/>
    <s v="Ноутбук"/>
    <n v="79385.04"/>
    <n v="1"/>
    <s v="Екатеринбург"/>
    <n v="79385.04"/>
    <s v="2023-12"/>
    <n v="1018"/>
  </r>
  <r>
    <n v="604"/>
    <d v="2023-12-05T00:00:00"/>
    <s v="Товары для дома"/>
    <s v="Кружка"/>
    <n v="83540.6"/>
    <n v="1"/>
    <s v="Санкт‑Петербург"/>
    <n v="83540.6"/>
    <s v="2023-12"/>
    <n v="1007"/>
  </r>
  <r>
    <n v="430"/>
    <d v="2023-12-06T00:00:00"/>
    <s v="Электроника"/>
    <s v="Наушники"/>
    <n v="143008.21"/>
    <n v="3"/>
    <s v="Московская область"/>
    <n v="429024.63"/>
    <s v="2023-12"/>
    <n v="485"/>
  </r>
  <r>
    <n v="714"/>
    <d v="2023-12-06T00:00:00"/>
    <s v="Товары для дома"/>
    <s v="Кружка"/>
    <n v="136930.18"/>
    <n v="3"/>
    <s v="Новосибирск"/>
    <n v="410790.54"/>
    <s v="2023-12"/>
    <n v="505"/>
  </r>
  <r>
    <n v="850"/>
    <d v="2023-12-06T00:00:00"/>
    <s v="Товары для дома"/>
    <s v="Полотенце"/>
    <n v="4062.89"/>
    <n v="7"/>
    <s v="Новосибирск"/>
    <n v="28440.23"/>
    <s v="2023-12"/>
    <n v="1133"/>
  </r>
  <r>
    <n v="1040"/>
    <d v="2023-12-06T00:00:00"/>
    <s v="Товары для дома"/>
    <s v="Полотенце"/>
    <n v="127999.94"/>
    <n v="4"/>
    <s v="Екатеринбург"/>
    <n v="511999.76"/>
    <s v="2023-12"/>
    <n v="400"/>
  </r>
  <r>
    <n v="162"/>
    <d v="2023-12-07T00:00:00"/>
    <s v="Электроника"/>
    <s v="Наушники"/>
    <n v="48575.02"/>
    <n v="8"/>
    <s v="Новосибирск"/>
    <n v="388600.16"/>
    <s v="2023-12"/>
    <n v="539"/>
  </r>
  <r>
    <n v="270"/>
    <d v="2023-12-07T00:00:00"/>
    <s v="Товары для дома"/>
    <s v="Кружка"/>
    <n v="56110.12"/>
    <n v="2"/>
    <s v="Москва"/>
    <n v="112220.24"/>
    <s v="2023-12"/>
    <n v="946"/>
  </r>
  <r>
    <n v="417"/>
    <d v="2023-12-07T00:00:00"/>
    <s v="Электроника"/>
    <s v="Планшет"/>
    <n v="30606.26"/>
    <n v="7"/>
    <s v="Санкт‑Петербург"/>
    <n v="214243.82"/>
    <s v="2023-12"/>
    <n v="768"/>
  </r>
  <r>
    <n v="444"/>
    <d v="2023-12-07T00:00:00"/>
    <s v="Продукты"/>
    <s v="Молоко"/>
    <n v="10398.43"/>
    <n v="6"/>
    <s v="Санкт‑Петербург"/>
    <n v="62390.58"/>
    <s v="2023-12"/>
    <n v="1052"/>
  </r>
  <r>
    <n v="225"/>
    <d v="2023-12-08T00:00:00"/>
    <s v="Электроника"/>
    <s v="Планшет"/>
    <n v="95407.23"/>
    <n v="2"/>
    <s v="Екатеринбург"/>
    <n v="190814.46"/>
    <s v="2023-12"/>
    <n v="802"/>
  </r>
  <r>
    <n v="327"/>
    <d v="2023-12-08T00:00:00"/>
    <s v="Электроника"/>
    <s v="Планшет"/>
    <n v="81479.49"/>
    <n v="7"/>
    <s v="Казань"/>
    <n v="570356.43"/>
    <s v="2023-12"/>
    <n v="351"/>
  </r>
  <r>
    <n v="913"/>
    <d v="2023-12-08T00:00:00"/>
    <s v="Одежда"/>
    <s v="Куртка"/>
    <n v="109363.98"/>
    <n v="10"/>
    <s v="Екатеринбург"/>
    <n v="1093639.8"/>
    <s v="2023-12"/>
    <n v="65"/>
  </r>
  <r>
    <n v="1057"/>
    <d v="2023-12-08T00:00:00"/>
    <s v="Одежда"/>
    <s v="Кроссовки"/>
    <n v="24921.36"/>
    <n v="1"/>
    <s v="Санкт‑Петербург"/>
    <n v="24921.36"/>
    <s v="2023-12"/>
    <n v="1142"/>
  </r>
  <r>
    <n v="1134"/>
    <d v="2023-12-08T00:00:00"/>
    <s v="Продукты"/>
    <s v="Кофе"/>
    <n v="87904.47"/>
    <n v="9"/>
    <s v="Санкт‑Петербург"/>
    <n v="791140.23"/>
    <s v="2023-12"/>
    <n v="202"/>
  </r>
  <r>
    <n v="45"/>
    <d v="2023-12-09T00:00:00"/>
    <s v="Одежда"/>
    <s v="Джинсы"/>
    <n v="134384.71"/>
    <n v="3"/>
    <s v="Новосибирск"/>
    <n v="403154.13"/>
    <s v="2023-12"/>
    <n v="512"/>
  </r>
  <r>
    <n v="120"/>
    <d v="2023-12-09T00:00:00"/>
    <s v="Продукты"/>
    <s v="Молоко"/>
    <n v="116732.44"/>
    <n v="5"/>
    <s v="Санкт‑Петербург"/>
    <n v="583662.2"/>
    <s v="2023-12"/>
    <n v="330"/>
  </r>
  <r>
    <n v="340"/>
    <d v="2023-12-09T00:00:00"/>
    <s v="Продукты"/>
    <s v="Хлеб"/>
    <n v="110676.74"/>
    <n v="8"/>
    <s v="Москва"/>
    <n v="885413.92"/>
    <s v="2023-12"/>
    <n v="142"/>
  </r>
  <r>
    <n v="1019"/>
    <d v="2023-12-09T00:00:00"/>
    <s v="Одежда"/>
    <s v="Куртка"/>
    <n v="79522.24"/>
    <n v="6"/>
    <s v="Москва"/>
    <n v="477133.44"/>
    <s v="2023-12"/>
    <n v="429"/>
  </r>
  <r>
    <n v="1183"/>
    <d v="2023-12-09T00:00:00"/>
    <s v="Электроника"/>
    <s v="Ноутбук"/>
    <n v="87738.62"/>
    <n v="2"/>
    <s v="Москва"/>
    <n v="175477.24"/>
    <s v="2023-12"/>
    <n v="818"/>
  </r>
  <r>
    <n v="1076"/>
    <d v="2023-12-10T00:00:00"/>
    <s v="Одежда"/>
    <s v="Кроссовки"/>
    <n v="11353.47"/>
    <n v="5"/>
    <s v="Московская область"/>
    <n v="56767.35"/>
    <s v="2023-12"/>
    <n v="1072"/>
  </r>
  <r>
    <n v="157"/>
    <d v="2023-12-12T00:00:00"/>
    <s v="Товары для дома"/>
    <s v="Подушка"/>
    <n v="15380.14"/>
    <n v="10"/>
    <s v="Санкт‑Петербург"/>
    <n v="153801.4"/>
    <s v="2023-12"/>
    <n v="847"/>
  </r>
  <r>
    <n v="439"/>
    <d v="2023-12-12T00:00:00"/>
    <s v="Продукты"/>
    <s v="Кофе"/>
    <n v="24545.63"/>
    <n v="9"/>
    <s v="Московская область"/>
    <n v="220910.67"/>
    <s v="2023-12"/>
    <n v="753"/>
  </r>
  <r>
    <n v="588"/>
    <d v="2023-12-12T00:00:00"/>
    <s v="Продукты"/>
    <s v="Шоколад"/>
    <n v="89649.11"/>
    <n v="9"/>
    <s v="Московская область"/>
    <n v="806841.99"/>
    <s v="2023-12"/>
    <n v="189"/>
  </r>
  <r>
    <n v="642"/>
    <d v="2023-12-12T00:00:00"/>
    <s v="Продукты"/>
    <s v="Шоколад"/>
    <n v="145826.86"/>
    <n v="8"/>
    <s v="Екатеринбург"/>
    <n v="1166614.88"/>
    <s v="2023-12"/>
    <n v="40"/>
  </r>
  <r>
    <n v="760"/>
    <d v="2023-12-12T00:00:00"/>
    <s v="Электроника"/>
    <s v="Ноутбук"/>
    <n v="119397.71"/>
    <n v="5"/>
    <s v="Московская область"/>
    <n v="596988.55"/>
    <s v="2023-12"/>
    <n v="319"/>
  </r>
  <r>
    <n v="796"/>
    <d v="2023-12-12T00:00:00"/>
    <s v="Продукты"/>
    <s v="Хлеб"/>
    <n v="17564.85"/>
    <n v="6"/>
    <s v="Екатеринбург"/>
    <n v="105389.1"/>
    <s v="2023-12"/>
    <n v="960"/>
  </r>
  <r>
    <n v="49"/>
    <d v="2023-12-13T00:00:00"/>
    <s v="Продукты"/>
    <s v="Шоколад"/>
    <n v="136402.6"/>
    <n v="8"/>
    <s v="Московская область"/>
    <n v="1091220.8"/>
    <s v="2023-12"/>
    <n v="66"/>
  </r>
  <r>
    <n v="285"/>
    <d v="2023-12-13T00:00:00"/>
    <s v="Товары для дома"/>
    <s v="Кружка"/>
    <n v="29101.01"/>
    <n v="2"/>
    <s v="Москва"/>
    <n v="58202.02"/>
    <s v="2023-12"/>
    <n v="1063"/>
  </r>
  <r>
    <n v="596"/>
    <d v="2023-12-13T00:00:00"/>
    <s v="Товары для дома"/>
    <s v="Подушка"/>
    <n v="96013.28"/>
    <n v="7"/>
    <s v="Казань"/>
    <n v="672092.96"/>
    <s v="2023-12"/>
    <n v="285"/>
  </r>
  <r>
    <n v="461"/>
    <d v="2023-12-14T00:00:00"/>
    <s v="Электроника"/>
    <s v="Планшет"/>
    <n v="141189.83"/>
    <n v="8"/>
    <s v="Московская область"/>
    <n v="1129518.64"/>
    <s v="2023-12"/>
    <n v="54"/>
  </r>
  <r>
    <n v="838"/>
    <d v="2023-12-14T00:00:00"/>
    <s v="Электроника"/>
    <s v="Планшет"/>
    <n v="49112.52"/>
    <n v="8"/>
    <s v="Московская область"/>
    <n v="392900.16"/>
    <s v="2023-12"/>
    <n v="532"/>
  </r>
  <r>
    <n v="435"/>
    <d v="2023-12-15T00:00:00"/>
    <s v="Продукты"/>
    <s v="Шоколад"/>
    <n v="41678.31"/>
    <n v="1"/>
    <s v="Московская область"/>
    <n v="41678.31"/>
    <s v="2023-12"/>
    <n v="1103"/>
  </r>
  <r>
    <n v="501"/>
    <d v="2023-12-15T00:00:00"/>
    <s v="Электроника"/>
    <s v="Наушники"/>
    <n v="44301.4"/>
    <n v="8"/>
    <s v="Новосибирск"/>
    <n v="354411.2"/>
    <s v="2023-12"/>
    <n v="583"/>
  </r>
  <r>
    <n v="608"/>
    <d v="2023-12-15T00:00:00"/>
    <s v="Продукты"/>
    <s v="Молоко"/>
    <n v="98941.36"/>
    <n v="7"/>
    <s v="Санкт‑Петербург"/>
    <n v="692589.52"/>
    <s v="2023-12"/>
    <n v="267"/>
  </r>
  <r>
    <n v="731"/>
    <d v="2023-12-15T00:00:00"/>
    <s v="Одежда"/>
    <s v="Кроссовки"/>
    <n v="31939.84"/>
    <n v="7"/>
    <s v="Москва"/>
    <n v="223578.88"/>
    <s v="2023-12"/>
    <n v="747"/>
  </r>
  <r>
    <n v="737"/>
    <d v="2023-12-15T00:00:00"/>
    <s v="Одежда"/>
    <s v="Куртка"/>
    <n v="115624.24"/>
    <n v="7"/>
    <s v="Москва"/>
    <n v="809369.68"/>
    <s v="2023-12"/>
    <n v="188"/>
  </r>
  <r>
    <n v="761"/>
    <d v="2023-12-15T00:00:00"/>
    <s v="Электроника"/>
    <s v="Ноутбук"/>
    <n v="27721.71"/>
    <n v="8"/>
    <s v="Санкт‑Петербург"/>
    <n v="221773.68"/>
    <s v="2023-12"/>
    <n v="751"/>
  </r>
  <r>
    <n v="928"/>
    <d v="2023-12-15T00:00:00"/>
    <s v="Одежда"/>
    <s v="Куртка"/>
    <n v="71979.29"/>
    <n v="8"/>
    <s v="Казань"/>
    <n v="575834.32"/>
    <s v="2023-12"/>
    <n v="338"/>
  </r>
  <r>
    <n v="930"/>
    <d v="2023-12-15T00:00:00"/>
    <s v="Товары для дома"/>
    <s v="Полотенце"/>
    <n v="72785.01"/>
    <n v="6"/>
    <s v="Екатеринбург"/>
    <n v="436710.06"/>
    <s v="2023-12"/>
    <n v="475"/>
  </r>
  <r>
    <n v="1110"/>
    <d v="2023-12-15T00:00:00"/>
    <s v="Одежда"/>
    <s v="Кроссовки"/>
    <n v="90755.11"/>
    <n v="6"/>
    <s v="Московская область"/>
    <n v="544530.66"/>
    <s v="2023-12"/>
    <n v="373"/>
  </r>
  <r>
    <n v="282"/>
    <d v="2023-12-16T00:00:00"/>
    <s v="Продукты"/>
    <s v="Шоколад"/>
    <n v="133879.56"/>
    <n v="10"/>
    <s v="Казань"/>
    <n v="1338795.6"/>
    <s v="2023-12"/>
    <n v="8"/>
  </r>
  <r>
    <n v="503"/>
    <d v="2023-12-16T00:00:00"/>
    <s v="Товары для дома"/>
    <s v="Подушка"/>
    <n v="91699.81"/>
    <n v="5"/>
    <s v="Санкт‑Петербург"/>
    <n v="458499.05"/>
    <s v="2023-12"/>
    <n v="443"/>
  </r>
  <r>
    <n v="569"/>
    <d v="2023-12-16T00:00:00"/>
    <s v="Продукты"/>
    <s v="Кофе"/>
    <n v="33167.83"/>
    <n v="5"/>
    <s v="Казань"/>
    <n v="165839.15"/>
    <s v="2023-12"/>
    <n v="831"/>
  </r>
  <r>
    <n v="648"/>
    <d v="2023-12-16T00:00:00"/>
    <s v="Продукты"/>
    <s v="Молоко"/>
    <n v="138791.08"/>
    <n v="4"/>
    <s v="Московская область"/>
    <n v="555164.32"/>
    <s v="2023-12"/>
    <n v="363"/>
  </r>
  <r>
    <n v="377"/>
    <d v="2023-12-17T00:00:00"/>
    <s v="Товары для дома"/>
    <s v="Плед"/>
    <n v="144192.92"/>
    <n v="5"/>
    <s v="Санкт‑Петербург"/>
    <n v="720964.6"/>
    <s v="2023-12"/>
    <n v="251"/>
  </r>
  <r>
    <n v="409"/>
    <d v="2023-12-17T00:00:00"/>
    <s v="Товары для дома"/>
    <s v="Полотенце"/>
    <n v="30047.71"/>
    <n v="3"/>
    <s v="Санкт‑Петербург"/>
    <n v="90143.13"/>
    <s v="2023-12"/>
    <n v="990"/>
  </r>
  <r>
    <n v="873"/>
    <d v="2023-12-17T00:00:00"/>
    <s v="Товары для дома"/>
    <s v="Кружка"/>
    <n v="10743.19"/>
    <n v="7"/>
    <s v="Санкт‑Петербург"/>
    <n v="75202.33"/>
    <s v="2023-12"/>
    <n v="1028"/>
  </r>
  <r>
    <n v="1191"/>
    <d v="2023-12-17T00:00:00"/>
    <s v="Товары для дома"/>
    <s v="Полотенце"/>
    <n v="53991.39"/>
    <n v="5"/>
    <s v="Санкт‑Петербург"/>
    <n v="269956.95"/>
    <s v="2023-12"/>
    <n v="669"/>
  </r>
  <r>
    <n v="867"/>
    <d v="2023-12-18T00:00:00"/>
    <s v="Продукты"/>
    <s v="Хлеб"/>
    <n v="49339.51"/>
    <n v="7"/>
    <s v="Казань"/>
    <n v="345376.57"/>
    <s v="2023-12"/>
    <n v="592"/>
  </r>
  <r>
    <n v="11"/>
    <d v="2023-12-19T00:00:00"/>
    <s v="Одежда"/>
    <s v="Куртка"/>
    <n v="35997.81"/>
    <n v="3"/>
    <s v="Санкт‑Петербург"/>
    <n v="107993.43"/>
    <s v="2023-12"/>
    <n v="953"/>
  </r>
  <r>
    <n v="679"/>
    <d v="2023-12-19T00:00:00"/>
    <s v="Электроника"/>
    <s v="Смартфон"/>
    <n v="142928.81"/>
    <n v="7"/>
    <s v="Екатеринбург"/>
    <n v="1000501.67"/>
    <s v="2023-12"/>
    <n v="89"/>
  </r>
  <r>
    <n v="10"/>
    <d v="2023-12-20T00:00:00"/>
    <s v="Электроника"/>
    <s v="Смартфон"/>
    <n v="15985.22"/>
    <n v="4"/>
    <s v="Санкт‑Петербург"/>
    <n v="63940.88"/>
    <s v="2023-12"/>
    <n v="1050"/>
  </r>
  <r>
    <n v="394"/>
    <d v="2023-12-20T00:00:00"/>
    <s v="Одежда"/>
    <s v="Джинсы"/>
    <n v="3266.44"/>
    <n v="3"/>
    <s v="Екатеринбург"/>
    <n v="9799.32"/>
    <s v="2023-12"/>
    <n v="1184"/>
  </r>
  <r>
    <n v="875"/>
    <d v="2023-12-20T00:00:00"/>
    <s v="Товары для дома"/>
    <s v="Кружка"/>
    <n v="71650.62"/>
    <n v="5"/>
    <s v="Новосибирск"/>
    <n v="358253.1"/>
    <s v="2023-12"/>
    <n v="574"/>
  </r>
  <r>
    <n v="1075"/>
    <d v="2023-12-20T00:00:00"/>
    <s v="Продукты"/>
    <s v="Молоко"/>
    <n v="137385.46"/>
    <n v="5"/>
    <s v="Санкт‑Петербург"/>
    <n v="686927.3"/>
    <s v="2023-12"/>
    <n v="272"/>
  </r>
  <r>
    <n v="1102"/>
    <d v="2023-12-20T00:00:00"/>
    <s v="Товары для дома"/>
    <s v="Полотенце"/>
    <n v="85568.45"/>
    <n v="9"/>
    <s v="Московская область"/>
    <n v="770116.05"/>
    <s v="2023-12"/>
    <n v="216"/>
  </r>
  <r>
    <n v="58"/>
    <d v="2023-12-21T00:00:00"/>
    <s v="Продукты"/>
    <s v="Шоколад"/>
    <n v="92454.98"/>
    <n v="5"/>
    <s v="Московская область"/>
    <n v="462274.9"/>
    <s v="2023-12"/>
    <n v="439"/>
  </r>
  <r>
    <n v="193"/>
    <d v="2023-12-21T00:00:00"/>
    <s v="Продукты"/>
    <s v="Хлеб"/>
    <n v="77144.55"/>
    <n v="1"/>
    <s v="Казань"/>
    <n v="77144.55"/>
    <s v="2023-12"/>
    <n v="1024"/>
  </r>
  <r>
    <n v="254"/>
    <d v="2023-12-21T00:00:00"/>
    <s v="Одежда"/>
    <s v="Футболка"/>
    <n v="6908.71"/>
    <n v="5"/>
    <s v="Новосибирск"/>
    <n v="34543.55"/>
    <s v="2023-12"/>
    <n v="1114"/>
  </r>
  <r>
    <n v="935"/>
    <d v="2023-12-21T00:00:00"/>
    <s v="Продукты"/>
    <s v="Хлеб"/>
    <n v="30340.49"/>
    <n v="8"/>
    <s v="Москва"/>
    <n v="242723.92"/>
    <s v="2023-12"/>
    <n v="717"/>
  </r>
  <r>
    <n v="1013"/>
    <d v="2023-12-21T00:00:00"/>
    <s v="Продукты"/>
    <s v="Кофе"/>
    <n v="114526.63"/>
    <n v="8"/>
    <s v="Москва"/>
    <n v="916213.04"/>
    <s v="2023-12"/>
    <n v="128"/>
  </r>
  <r>
    <n v="284"/>
    <d v="2023-12-22T00:00:00"/>
    <s v="Товары для дома"/>
    <s v="Подушка"/>
    <n v="12496.5"/>
    <n v="3"/>
    <s v="Санкт‑Петербург"/>
    <n v="37489.5"/>
    <s v="2023-12"/>
    <n v="1109"/>
  </r>
  <r>
    <n v="379"/>
    <d v="2023-12-22T00:00:00"/>
    <s v="Товары для дома"/>
    <s v="Кружка"/>
    <n v="16562.2"/>
    <n v="5"/>
    <s v="Казань"/>
    <n v="82811"/>
    <s v="2023-12"/>
    <n v="1009"/>
  </r>
  <r>
    <n v="754"/>
    <d v="2023-12-22T00:00:00"/>
    <s v="Товары для дома"/>
    <s v="Полотенце"/>
    <n v="21606.34"/>
    <n v="10"/>
    <s v="Новосибирск"/>
    <n v="216063.4"/>
    <s v="2023-12"/>
    <n v="763"/>
  </r>
  <r>
    <n v="266"/>
    <d v="2023-12-23T00:00:00"/>
    <s v="Одежда"/>
    <s v="Джинсы"/>
    <n v="42672.63"/>
    <n v="7"/>
    <s v="Москва"/>
    <n v="298708.41"/>
    <s v="2023-12"/>
    <n v="634"/>
  </r>
  <r>
    <n v="410"/>
    <d v="2023-12-23T00:00:00"/>
    <s v="Одежда"/>
    <s v="Куртка"/>
    <n v="52112.33"/>
    <n v="2"/>
    <s v="Московская область"/>
    <n v="104224.66"/>
    <s v="2023-12"/>
    <n v="962"/>
  </r>
  <r>
    <n v="751"/>
    <d v="2023-12-23T00:00:00"/>
    <s v="Электроника"/>
    <s v="Ноутбук"/>
    <n v="17238.1"/>
    <n v="9"/>
    <s v="Московская область"/>
    <n v="155142.9"/>
    <s v="2023-12"/>
    <n v="844"/>
  </r>
  <r>
    <n v="1125"/>
    <d v="2023-12-23T00:00:00"/>
    <s v="Продукты"/>
    <s v="Кофе"/>
    <n v="94343.08"/>
    <n v="8"/>
    <s v="Казань"/>
    <n v="754744.64"/>
    <s v="2023-12"/>
    <n v="224"/>
  </r>
  <r>
    <n v="1179"/>
    <d v="2023-12-23T00:00:00"/>
    <s v="Одежда"/>
    <s v="Куртка"/>
    <n v="116314.06"/>
    <n v="9"/>
    <s v="Казань"/>
    <n v="1046826.54"/>
    <s v="2023-12"/>
    <n v="74"/>
  </r>
  <r>
    <n v="291"/>
    <d v="2023-12-24T00:00:00"/>
    <s v="Электроника"/>
    <s v="Ноутбук"/>
    <n v="38811.15"/>
    <n v="10"/>
    <s v="Новосибирск"/>
    <n v="388111.5"/>
    <s v="2023-12"/>
    <n v="540"/>
  </r>
  <r>
    <n v="492"/>
    <d v="2023-12-24T00:00:00"/>
    <s v="Товары для дома"/>
    <s v="Подушка"/>
    <n v="84170.92"/>
    <n v="2"/>
    <s v="Санкт‑Петербург"/>
    <n v="168341.84"/>
    <s v="2023-12"/>
    <n v="825"/>
  </r>
  <r>
    <n v="770"/>
    <d v="2023-12-24T00:00:00"/>
    <s v="Одежда"/>
    <s v="Кроссовки"/>
    <n v="99378.23"/>
    <n v="7"/>
    <s v="Екатеринбург"/>
    <n v="695647.61"/>
    <s v="2023-12"/>
    <n v="263"/>
  </r>
  <r>
    <n v="550"/>
    <d v="2023-12-25T00:00:00"/>
    <s v="Товары для дома"/>
    <s v="Полотенце"/>
    <n v="22685.05"/>
    <n v="2"/>
    <s v="Москва"/>
    <n v="45370.1"/>
    <s v="2023-12"/>
    <n v="1095"/>
  </r>
  <r>
    <n v="958"/>
    <d v="2023-12-25T00:00:00"/>
    <s v="Одежда"/>
    <s v="Джинсы"/>
    <n v="27217.37"/>
    <n v="5"/>
    <s v="Москва"/>
    <n v="136086.85"/>
    <s v="2023-12"/>
    <n v="890"/>
  </r>
  <r>
    <n v="1021"/>
    <d v="2023-12-25T00:00:00"/>
    <s v="Одежда"/>
    <s v="Джинсы"/>
    <n v="120267.66"/>
    <n v="5"/>
    <s v="Новосибирск"/>
    <n v="601338.3"/>
    <s v="2023-12"/>
    <n v="316"/>
  </r>
  <r>
    <n v="553"/>
    <d v="2023-12-26T00:00:00"/>
    <s v="Одежда"/>
    <s v="Куртка"/>
    <n v="104764.63"/>
    <n v="9"/>
    <s v="Новосибирск"/>
    <n v="942881.67"/>
    <s v="2023-12"/>
    <n v="112"/>
  </r>
  <r>
    <n v="1177"/>
    <d v="2023-12-26T00:00:00"/>
    <s v="Продукты"/>
    <s v="Молоко"/>
    <n v="108100.5"/>
    <n v="6"/>
    <s v="Московская область"/>
    <n v="648603"/>
    <s v="2023-12"/>
    <n v="297"/>
  </r>
  <r>
    <n v="122"/>
    <d v="2023-12-27T00:00:00"/>
    <s v="Одежда"/>
    <s v="Кроссовки"/>
    <n v="142679.97"/>
    <n v="6"/>
    <s v="Казань"/>
    <n v="856079.82"/>
    <s v="2023-12"/>
    <n v="159"/>
  </r>
  <r>
    <n v="397"/>
    <d v="2023-12-27T00:00:00"/>
    <s v="Электроника"/>
    <s v="Наушники"/>
    <n v="35464.46"/>
    <n v="10"/>
    <s v="Новосибирск"/>
    <n v="354644.6"/>
    <s v="2023-12"/>
    <n v="582"/>
  </r>
  <r>
    <n v="870"/>
    <d v="2023-12-27T00:00:00"/>
    <s v="Товары для дома"/>
    <s v="Полотенце"/>
    <n v="81574.84"/>
    <n v="7"/>
    <s v="Екатеринбург"/>
    <n v="571023.88"/>
    <s v="2023-12"/>
    <n v="346"/>
  </r>
  <r>
    <n v="894"/>
    <d v="2023-12-27T00:00:00"/>
    <s v="Электроника"/>
    <s v="Наушники"/>
    <n v="136318.51"/>
    <n v="7"/>
    <s v="Санкт‑Петербург"/>
    <n v="954229.57"/>
    <s v="2023-12"/>
    <n v="107"/>
  </r>
  <r>
    <n v="498"/>
    <d v="2023-12-28T00:00:00"/>
    <s v="Продукты"/>
    <s v="Хлеб"/>
    <n v="99102.17"/>
    <n v="4"/>
    <s v="Московская область"/>
    <n v="396408.68"/>
    <s v="2023-12"/>
    <n v="525"/>
  </r>
  <r>
    <n v="650"/>
    <d v="2023-12-28T00:00:00"/>
    <s v="Продукты"/>
    <s v="Хлеб"/>
    <n v="69663.52"/>
    <n v="8"/>
    <s v="Санкт‑Петербург"/>
    <n v="557308.16"/>
    <s v="2023-12"/>
    <n v="362"/>
  </r>
  <r>
    <n v="872"/>
    <d v="2023-12-28T00:00:00"/>
    <s v="Электроника"/>
    <s v="Наушники"/>
    <n v="120043.91"/>
    <n v="10"/>
    <s v="Новосибирск"/>
    <n v="1200439.1"/>
    <s v="2023-12"/>
    <n v="32"/>
  </r>
  <r>
    <n v="874"/>
    <d v="2023-12-28T00:00:00"/>
    <s v="Продукты"/>
    <s v="Молоко"/>
    <n v="12346.46"/>
    <n v="1"/>
    <s v="Казань"/>
    <n v="12346.46"/>
    <s v="2023-12"/>
    <n v="1177"/>
  </r>
  <r>
    <n v="1029"/>
    <d v="2023-12-28T00:00:00"/>
    <s v="Электроника"/>
    <s v="Наушники"/>
    <n v="15011.35"/>
    <n v="2"/>
    <s v="Новосибирск"/>
    <n v="30022.7"/>
    <s v="2023-12"/>
    <n v="1127"/>
  </r>
  <r>
    <n v="348"/>
    <d v="2023-12-29T00:00:00"/>
    <s v="Товары для дома"/>
    <s v="Полотенце"/>
    <n v="139659.39"/>
    <n v="9"/>
    <s v="Новосибирск"/>
    <n v="1256934.51"/>
    <s v="2023-12"/>
    <n v="25"/>
  </r>
  <r>
    <n v="401"/>
    <d v="2023-12-29T00:00:00"/>
    <s v="Одежда"/>
    <s v="Куртка"/>
    <n v="133672.47"/>
    <n v="10"/>
    <s v="Екатеринбург"/>
    <n v="1336724.7"/>
    <s v="2023-12"/>
    <n v="9"/>
  </r>
  <r>
    <n v="554"/>
    <d v="2023-12-29T00:00:00"/>
    <s v="Электроника"/>
    <s v="Ноутбук"/>
    <n v="98257.04"/>
    <n v="7"/>
    <s v="Казань"/>
    <n v="687799.28"/>
    <s v="2023-12"/>
    <n v="271"/>
  </r>
  <r>
    <n v="252"/>
    <d v="2023-12-30T00:00:00"/>
    <s v="Продукты"/>
    <s v="Молоко"/>
    <n v="4248.53"/>
    <n v="6"/>
    <s v="Московская область"/>
    <n v="25491.18"/>
    <s v="2023-12"/>
    <n v="1140"/>
  </r>
  <r>
    <n v="482"/>
    <d v="2023-12-30T00:00:00"/>
    <s v="Товары для дома"/>
    <s v="Полотенце"/>
    <n v="98383.78"/>
    <n v="9"/>
    <s v="Новосибирск"/>
    <n v="885454.02"/>
    <s v="2023-12"/>
    <n v="141"/>
  </r>
  <r>
    <n v="634"/>
    <d v="2023-12-30T00:00:00"/>
    <s v="Продукты"/>
    <s v="Хлеб"/>
    <n v="62813.78"/>
    <n v="7"/>
    <s v="Санкт‑Петербург"/>
    <n v="439696.46"/>
    <s v="2023-12"/>
    <n v="467"/>
  </r>
  <r>
    <n v="1151"/>
    <d v="2023-12-30T00:00:00"/>
    <s v="Электроника"/>
    <s v="Ноутбук"/>
    <n v="133292.48"/>
    <n v="9"/>
    <s v="Новосибирск"/>
    <n v="1199632.32"/>
    <s v="2023-12"/>
    <n v="33"/>
  </r>
  <r>
    <n v="490"/>
    <d v="2023-12-31T00:00:00"/>
    <s v="Товары для дома"/>
    <s v="Кружка"/>
    <n v="133910.84"/>
    <n v="6"/>
    <s v="Санкт‑Петербург"/>
    <n v="803465.04"/>
    <s v="2023-12"/>
    <n v="195"/>
  </r>
  <r>
    <n v="821"/>
    <d v="2023-12-31T00:00:00"/>
    <s v="Электроника"/>
    <s v="Ноутбук"/>
    <n v="145349.31"/>
    <n v="3"/>
    <s v="Санкт‑Петербург"/>
    <n v="436047.93"/>
    <s v="2023-12"/>
    <n v="476"/>
  </r>
  <r>
    <n v="851"/>
    <d v="2023-12-31T00:00:00"/>
    <s v="Электроника"/>
    <s v="Планшет"/>
    <n v="99075.4"/>
    <n v="9"/>
    <s v="Московская область"/>
    <n v="891678.6"/>
    <s v="2023-12"/>
    <n v="139"/>
  </r>
  <r>
    <n v="890"/>
    <d v="2023-12-31T00:00:00"/>
    <s v="Продукты"/>
    <s v="Кофе"/>
    <n v="1370.45"/>
    <n v="9"/>
    <s v="Московская область"/>
    <n v="12334.05"/>
    <s v="2023-12"/>
    <n v="1178"/>
  </r>
</pivotCacheRecords>
</file>

<file path=xl/pivotTables/_rels/pivotTable1.xml.rels><?xml version='1.0' encoding='utf-8'?>
<Relationships xmlns="http://schemas.openxmlformats.org/package/2006/relationships"><Relationship Id="rIdCache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MonthlyRevenue" cacheId="0" applyNumberFormats="0" applyBorderFormats="0" applyFontFormats="0" applyPatternFormats="0" applyAlignmentFormats="0" applyWidthHeightFormats="0" dataCaption="Values" outline="1" grandTotalCaption="Общий итог" rowHeaderCaption="Month">
  <location ref="A4" firstHeaderRow="0" firstDataRow="0" firstDataCol="0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name="Month"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/>
  </pivotFields>
  <rowFields count="1">
    <field x="8"/>
  </rowFields>
  <dataFields count="1">
    <dataField name="Сумма Total" fld="7" subtotal="sum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SalesData" displayName="SalesData" ref="A1:J1201" headerRowCount="1" totalsRowCount="0" totalsRowShown="0">
  <x:autoFilter ref="A1:J1201"/>
  <x:tableColumns count="10">
    <x:tableColumn id="1" name="OrderID"/>
    <x:tableColumn id="2" name="Date"/>
    <x:tableColumn id="3" name="Category"/>
    <x:tableColumn id="4" name="Product"/>
    <x:tableColumn id="5" name="Price"/>
    <x:tableColumn id="6" name="Quantity"/>
    <x:tableColumn id="7" name="CustomerRegion"/>
    <x:tableColumn id="8" name="Total"/>
    <x:tableColumn id="9" name="Month"/>
    <x:tableColumn id="10" name="RevenueRa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85e0e8f69c4230" /></Relationships>
</file>

<file path=xl/worksheets/_rels/sheet2.xml.rels><?xml version='1.0' encoding='utf-8'?>
<Relationships xmlns="http://schemas.openxmlformats.org/package/2006/relationships"><Relationship Type="http://schemas.openxmlformats.org/officeDocument/2006/relationships/drawing" Target="/xl/drawings/drawing2.xml" Id="Re4e272f2337245fe" /><Relationship Id="rIdMonthlyPivot" Type="http://schemas.openxmlformats.org/officeDocument/2006/relationships/pivotTable" Target="../pivotTables/pivotTable1.xml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ace4870c0a74291" /></Relationships>
</file>

<file path=xl/worksheets/sheet1.xml><?xml version="1.0" encoding="utf-8"?>
<x:worksheet xmlns:x="http://schemas.openxmlformats.org/spreadsheetml/2006/main">
  <x:sheetPr>
    <x:tabColor rgb="FF294563"/>
  </x:sheetPr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2" hidden="0" customWidth="1"/>
    <x:col min="4" max="4" width="24" hidden="0" customWidth="1"/>
    <x:col min="5" max="5" width="24" hidden="0" customWidth="1"/>
    <x:col min="6" max="6" width="23" hidden="0" customWidth="1"/>
    <x:col min="7" max="7" width="19" hidden="0" customWidth="1"/>
    <x:col min="8" max="8" width="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10" t="str">
        <x:v>Анализ продаж магазина за 2023 год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5" customHeight="1">
      <x:c r="A4" s="5" t="str">
        <x:v>Показатель</x:v>
      </x:c>
      <x:c r="B4" s="5" t="str">
        <x:v>Значение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 t="str">
        <x:v>Общая выручка, ден. ед.</x:v>
      </x:c>
      <x:c r="B5" s="7" t="n">
        <x:f>SUM('sales_data'!H2:H1201)</x:f>
        <x:v>501162694.1800001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 t="str">
        <x:v>Количество заказов</x:v>
      </x:c>
      <x:c r="B6" s="9" t="n">
        <x:f>COUNTA('sales_data'!A2:A1201)</x:f>
        <x:v>1200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 t="str">
        <x:v>Продано единиц</x:v>
      </x:c>
      <x:c r="B7" s="9" t="n">
        <x:f>SUM('sales_data'!F2:F1201)</x:f>
        <x:v>6646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 t="str">
        <x:v>Месяц максимальной выручки</x:v>
      </x:c>
      <x:c r="B8" s="2" t="str">
        <x:f>INDEX('По месяцам'!A5:A16,MATCH(MAX('По месяцам'!B5:B16),'По месяцам'!B5:B16,0))</x:f>
        <x:v>2023-12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30" customHeight="1">
      <x:c r="A10" s="10" t="str">
        <x:v>Топ-5 товаров по количеству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5" t="str">
        <x:v>Товар</x:v>
      </x:c>
      <x:c r="B11" s="5" t="str">
        <x:v>Количество, шт.</x:v>
      </x:c>
      <x:c r="C11" s="5" t="str">
        <x:v>Выручка, ден. ед.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 t="str">
        <x:f>INDEX($A$51:$A$66,MATCH(1,$D$51:$D$66,0))</x:f>
        <x:v>Полотенце</x:v>
      </x:c>
      <x:c r="B12" s="2" t="n">
        <x:f>INDEX($B$51:$B$66,MATCH(1,$D$51:$D$66,0))</x:f>
        <x:v>507</x:v>
      </x:c>
      <x:c r="C12" s="7" t="n">
        <x:f>INDEX($C$51:$C$66,MATCH(1,$D$51:$D$66,0))</x:f>
        <x:v>36653170.17999999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f>INDEX($A$51:$A$66,MATCH(2,$D$51:$D$66,0))</x:f>
        <x:v>Кофе</x:v>
      </x:c>
      <x:c r="B13" s="2" t="n">
        <x:f>INDEX($B$51:$B$66,MATCH(2,$D$51:$D$66,0))</x:f>
        <x:v>493</x:v>
      </x:c>
      <x:c r="C13" s="7" t="n">
        <x:f>INDEX($C$51:$C$66,MATCH(2,$D$51:$D$66,0))</x:f>
        <x:v>37886516.75999998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 t="str">
        <x:f>INDEX($A$51:$A$66,MATCH(3,$D$51:$D$66,0))</x:f>
        <x:v>Хлеб</x:v>
      </x:c>
      <x:c r="B14" s="2" t="n">
        <x:f>INDEX($B$51:$B$66,MATCH(3,$D$51:$D$66,0))</x:f>
        <x:v>488</x:v>
      </x:c>
      <x:c r="C14" s="7" t="n">
        <x:f>INDEX($C$51:$C$66,MATCH(3,$D$51:$D$66,0))</x:f>
        <x:v>35775497.38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f>INDEX($A$51:$A$66,MATCH(4,$D$51:$D$66,0))</x:f>
        <x:v>Куртка</x:v>
      </x:c>
      <x:c r="B15" s="2" t="n">
        <x:f>INDEX($B$51:$B$66,MATCH(4,$D$51:$D$66,0))</x:f>
        <x:v>476</x:v>
      </x:c>
      <x:c r="C15" s="7" t="n">
        <x:f>INDEX($C$51:$C$66,MATCH(4,$D$51:$D$66,0))</x:f>
        <x:v>35283629.620000005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 t="str">
        <x:f>INDEX($A$51:$A$66,MATCH(5,$D$51:$D$66,0))</x:f>
        <x:v>Плед</x:v>
      </x:c>
      <x:c r="B16" s="2" t="n">
        <x:f>INDEX($B$51:$B$66,MATCH(5,$D$51:$D$66,0))</x:f>
        <x:v>461</x:v>
      </x:c>
      <x:c r="C16" s="7" t="n">
        <x:f>INDEX($C$51:$C$66,MATCH(5,$D$51:$D$66,0))</x:f>
        <x:v>33304959.070000008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30" customHeight="1">
      <x:c r="A19" s="10" t="str">
        <x:v>Категории и средняя цена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5" t="str">
        <x:v>Категория</x:v>
      </x:c>
      <x:c r="B20" s="5" t="str">
        <x:v>Количество, шт.</x:v>
      </x:c>
      <x:c r="C20" s="5" t="str">
        <x:v>Выручка, ден. ед.</x:v>
      </x:c>
      <x:c r="D20" s="5" t="str">
        <x:v>Средняя Price, ден. ед.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 t="str">
        <x:v>Одежда</x:v>
      </x:c>
      <x:c r="B21" s="2" t="n">
        <x:f>SUMIFS('sales_data'!$F$2:$F$1201,'sales_data'!$C$2:$C$1201,A21)</x:f>
        <x:v>1575</x:v>
      </x:c>
      <x:c r="C21" s="7" t="n">
        <x:f>SUMIFS('sales_data'!$H$2:$H$1201,'sales_data'!$C$2:$C$1201,A21)</x:f>
        <x:v>111758233.49999994</x:v>
      </x:c>
      <x:c r="D21" s="7" t="n">
        <x:f>AVERAGEIFS('sales_data'!$E$2:$E$1201,'sales_data'!$C$2:$C$1201,A21)</x:f>
        <x:v>72849.66896907215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 t="str">
        <x:v>Продукты</x:v>
      </x:c>
      <x:c r="B22" s="2" t="n">
        <x:f>SUMIFS('sales_data'!$F$2:$F$1201,'sales_data'!$C$2:$C$1201,A22)</x:f>
        <x:v>1789</x:v>
      </x:c>
      <x:c r="C22" s="7" t="n">
        <x:f>SUMIFS('sales_data'!$H$2:$H$1201,'sales_data'!$C$2:$C$1201,A22)</x:f>
        <x:v>140001406.21</x:v>
      </x:c>
      <x:c r="D22" s="7" t="n">
        <x:f>AVERAGEIFS('sales_data'!$E$2:$E$1201,'sales_data'!$C$2:$C$1201,A22)</x:f>
        <x:v>77594.70750778819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v>Товары для дома</x:v>
      </x:c>
      <x:c r="B23" s="2" t="n">
        <x:f>SUMIFS('sales_data'!$F$2:$F$1201,'sales_data'!$C$2:$C$1201,A23)</x:f>
        <x:v>1842</x:v>
      </x:c>
      <x:c r="C23" s="7" t="n">
        <x:f>SUMIFS('sales_data'!$H$2:$H$1201,'sales_data'!$C$2:$C$1201,A23)</x:f>
        <x:v>136290295.86999997</x:v>
      </x:c>
      <x:c r="D23" s="7" t="n">
        <x:f>AVERAGEIFS('sales_data'!$E$2:$E$1201,'sales_data'!$C$2:$C$1201,A23)</x:f>
        <x:v>72445.20817365275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 t="str">
        <x:v>Электроника</x:v>
      </x:c>
      <x:c r="B24" s="2" t="n">
        <x:f>SUMIFS('sales_data'!$F$2:$F$1201,'sales_data'!$C$2:$C$1201,A24)</x:f>
        <x:v>1440</x:v>
      </x:c>
      <x:c r="C24" s="7" t="n">
        <x:f>SUMIFS('sales_data'!$H$2:$H$1201,'sales_data'!$C$2:$C$1201,A24)</x:f>
        <x:v>113112758.60000001</x:v>
      </x:c>
      <x:c r="D24" s="7" t="n">
        <x:f>AVERAGEIFS('sales_data'!$E$2:$E$1201,'sales_data'!$C$2:$C$1201,A24)</x:f>
        <x:v>77994.98830708665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30" customHeight="1">
      <x:c r="A26" s="10" t="str">
        <x:v>Выручка по регионам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5" customHeight="1">
      <x:c r="A27" s="5" t="str">
        <x:v>Регион</x:v>
      </x:c>
      <x:c r="B27" s="5" t="str">
        <x:v>Выручка, ден. ед.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 t="str">
        <x:v>Новосибирск</x:v>
      </x:c>
      <x:c r="B28" s="7" t="n">
        <x:f>SUMIFS('sales_data'!$H$2:$H$1201,'sales_data'!$G$2:$G$1201,A28)</x:f>
        <x:v>92400035.99000002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 t="str">
        <x:v>Московская область</x:v>
      </x:c>
      <x:c r="B29" s="7" t="n">
        <x:f>SUMIFS('sales_data'!$H$2:$H$1201,'sales_data'!$G$2:$G$1201,A29)</x:f>
        <x:v>89163061.55999999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 t="str">
        <x:v>Казань</x:v>
      </x:c>
      <x:c r="B30" s="7" t="n">
        <x:f>SUMIFS('sales_data'!$H$2:$H$1201,'sales_data'!$G$2:$G$1201,A30)</x:f>
        <x:v>84948315.68999994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 t="str">
        <x:v>Екатеринбург</x:v>
      </x:c>
      <x:c r="B31" s="7" t="n">
        <x:f>SUMIFS('sales_data'!$H$2:$H$1201,'sales_data'!$G$2:$G$1201,A31)</x:f>
        <x:v>78621029.01999998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 t="str">
        <x:v>Санкт‑Петербург</x:v>
      </x:c>
      <x:c r="B32" s="7" t="n">
        <x:f>SUMIFS('sales_data'!$H$2:$H$1201,'sales_data'!$G$2:$G$1201,A32)</x:f>
        <x:v>78402886.27999996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 t="str">
        <x:v>Москва</x:v>
      </x:c>
      <x:c r="B33" s="7" t="n">
        <x:f>SUMIFS('sales_data'!$H$2:$H$1201,'sales_data'!$G$2:$G$1201,A33)</x:f>
        <x:v>77627365.63999993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30" customHeight="1">
      <x:c r="A35" s="10" t="str">
        <x:v>Топ-10 заказов по сумме Total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5" customHeight="1">
      <x:c r="A36" s="5" t="str">
        <x:v>OrderID</x:v>
      </x:c>
      <x:c r="B36" s="5" t="str">
        <x:v>Дата</x:v>
      </x:c>
      <x:c r="C36" s="5" t="str">
        <x:v>Товар</x:v>
      </x:c>
      <x:c r="D36" s="5" t="str">
        <x:v>Категория</x:v>
      </x:c>
      <x:c r="E36" s="5" t="str">
        <x:v>Регион</x:v>
      </x:c>
      <x:c r="F36" s="5" t="str">
        <x:v>Количество, шт.</x:v>
      </x:c>
      <x:c r="G36" s="5" t="str">
        <x:v>Total, ден. ед.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 t="n">
        <x:f>INDEX('sales_data'!$A$2:$A$1201,MATCH(1,'sales_data'!$J$2:$J$1201,0))</x:f>
        <x:v>355</x:v>
      </x:c>
      <x:c r="B37" s="6" t="n">
        <x:f>INDEX('sales_data'!$B$2:$B$1201,MATCH(1,'sales_data'!$J$2:$J$1201,0))</x:f>
        <x:v>45071</x:v>
      </x:c>
      <x:c r="C37" s="2" t="str">
        <x:f>INDEX('sales_data'!$D$2:$D$1201,MATCH(1,'sales_data'!$J$2:$J$1201,0))</x:f>
        <x:v>Подушка</x:v>
      </x:c>
      <x:c r="D37" s="2" t="str">
        <x:f>INDEX('sales_data'!$C$2:$C$1201,MATCH(1,'sales_data'!$J$2:$J$1201,0))</x:f>
        <x:v>Товары для дома</x:v>
      </x:c>
      <x:c r="E37" s="2" t="str">
        <x:f>INDEX('sales_data'!$G$2:$G$1201,MATCH(1,'sales_data'!$J$2:$J$1201,0))</x:f>
        <x:v>Санкт‑Петербург</x:v>
      </x:c>
      <x:c r="F37" s="2" t="n">
        <x:f>INDEX('sales_data'!$F$2:$F$1201,MATCH(1,'sales_data'!$J$2:$J$1201,0))</x:f>
        <x:v>10</x:v>
      </x:c>
      <x:c r="G37" s="7" t="n">
        <x:f>INDEX('sales_data'!$H$2:$H$1201,MATCH(1,'sales_data'!$J$2:$J$1201,0))</x:f>
        <x:v>1478726.6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 t="n">
        <x:f>INDEX('sales_data'!$A$2:$A$1201,MATCH(2,'sales_data'!$J$2:$J$1201,0))</x:f>
        <x:v>915</x:v>
      </x:c>
      <x:c r="B38" s="6" t="n">
        <x:f>INDEX('sales_data'!$B$2:$B$1201,MATCH(2,'sales_data'!$J$2:$J$1201,0))</x:f>
        <x:v>45043</x:v>
      </x:c>
      <x:c r="C38" s="2" t="str">
        <x:f>INDEX('sales_data'!$D$2:$D$1201,MATCH(2,'sales_data'!$J$2:$J$1201,0))</x:f>
        <x:v>Кроссовки</x:v>
      </x:c>
      <x:c r="D38" s="2" t="str">
        <x:f>INDEX('sales_data'!$C$2:$C$1201,MATCH(2,'sales_data'!$J$2:$J$1201,0))</x:f>
        <x:v>Одежда</x:v>
      </x:c>
      <x:c r="E38" s="2" t="str">
        <x:f>INDEX('sales_data'!$G$2:$G$1201,MATCH(2,'sales_data'!$J$2:$J$1201,0))</x:f>
        <x:v>Санкт‑Петербург</x:v>
      </x:c>
      <x:c r="F38" s="2" t="n">
        <x:f>INDEX('sales_data'!$F$2:$F$1201,MATCH(2,'sales_data'!$J$2:$J$1201,0))</x:f>
        <x:v>10</x:v>
      </x:c>
      <x:c r="G38" s="7" t="n">
        <x:f>INDEX('sales_data'!$H$2:$H$1201,MATCH(2,'sales_data'!$J$2:$J$1201,0))</x:f>
        <x:v>1458392.3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 t="n">
        <x:f>INDEX('sales_data'!$A$2:$A$1201,MATCH(3,'sales_data'!$J$2:$J$1201,0))</x:f>
        <x:v>3</x:v>
      </x:c>
      <x:c r="B39" s="6" t="n">
        <x:f>INDEX('sales_data'!$B$2:$B$1201,MATCH(3,'sales_data'!$J$2:$J$1201,0))</x:f>
        <x:v>44939</x:v>
      </x:c>
      <x:c r="C39" s="2" t="str">
        <x:f>INDEX('sales_data'!$D$2:$D$1201,MATCH(3,'sales_data'!$J$2:$J$1201,0))</x:f>
        <x:v>Полотенце</x:v>
      </x:c>
      <x:c r="D39" s="2" t="str">
        <x:f>INDEX('sales_data'!$C$2:$C$1201,MATCH(3,'sales_data'!$J$2:$J$1201,0))</x:f>
        <x:v>Товары для дома</x:v>
      </x:c>
      <x:c r="E39" s="2" t="str">
        <x:f>INDEX('sales_data'!$G$2:$G$1201,MATCH(3,'sales_data'!$J$2:$J$1201,0))</x:f>
        <x:v>Новосибирск</x:v>
      </x:c>
      <x:c r="F39" s="2" t="n">
        <x:f>INDEX('sales_data'!$F$2:$F$1201,MATCH(3,'sales_data'!$J$2:$J$1201,0))</x:f>
        <x:v>10</x:v>
      </x:c>
      <x:c r="G39" s="7" t="n">
        <x:f>INDEX('sales_data'!$H$2:$H$1201,MATCH(3,'sales_data'!$J$2:$J$1201,0))</x:f>
        <x:v>1457462.0999999999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 t="n">
        <x:f>INDEX('sales_data'!$A$2:$A$1201,MATCH(4,'sales_data'!$J$2:$J$1201,0))</x:f>
        <x:v>1143</x:v>
      </x:c>
      <x:c r="B40" s="6" t="n">
        <x:f>INDEX('sales_data'!$B$2:$B$1201,MATCH(4,'sales_data'!$J$2:$J$1201,0))</x:f>
        <x:v>44949</x:v>
      </x:c>
      <x:c r="C40" s="2" t="str">
        <x:f>INDEX('sales_data'!$D$2:$D$1201,MATCH(4,'sales_data'!$J$2:$J$1201,0))</x:f>
        <x:v>Планшет</x:v>
      </x:c>
      <x:c r="D40" s="2" t="str">
        <x:f>INDEX('sales_data'!$C$2:$C$1201,MATCH(4,'sales_data'!$J$2:$J$1201,0))</x:f>
        <x:v>Электроника</x:v>
      </x:c>
      <x:c r="E40" s="2" t="str">
        <x:f>INDEX('sales_data'!$G$2:$G$1201,MATCH(4,'sales_data'!$J$2:$J$1201,0))</x:f>
        <x:v>Санкт‑Петербург</x:v>
      </x:c>
      <x:c r="F40" s="2" t="n">
        <x:f>INDEX('sales_data'!$F$2:$F$1201,MATCH(4,'sales_data'!$J$2:$J$1201,0))</x:f>
        <x:v>10</x:v>
      </x:c>
      <x:c r="G40" s="7" t="n">
        <x:f>INDEX('sales_data'!$H$2:$H$1201,MATCH(4,'sales_data'!$J$2:$J$1201,0))</x:f>
        <x:v>1456306.9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 t="n">
        <x:f>INDEX('sales_data'!$A$2:$A$1201,MATCH(5,'sales_data'!$J$2:$J$1201,0))</x:f>
        <x:v>988</x:v>
      </x:c>
      <x:c r="B41" s="6" t="n">
        <x:f>INDEX('sales_data'!$B$2:$B$1201,MATCH(5,'sales_data'!$J$2:$J$1201,0))</x:f>
        <x:v>45097</x:v>
      </x:c>
      <x:c r="C41" s="2" t="str">
        <x:f>INDEX('sales_data'!$D$2:$D$1201,MATCH(5,'sales_data'!$J$2:$J$1201,0))</x:f>
        <x:v>Кофе</x:v>
      </x:c>
      <x:c r="D41" s="2" t="str">
        <x:f>INDEX('sales_data'!$C$2:$C$1201,MATCH(5,'sales_data'!$J$2:$J$1201,0))</x:f>
        <x:v>Продукты</x:v>
      </x:c>
      <x:c r="E41" s="2" t="str">
        <x:f>INDEX('sales_data'!$G$2:$G$1201,MATCH(5,'sales_data'!$J$2:$J$1201,0))</x:f>
        <x:v>Москва</x:v>
      </x:c>
      <x:c r="F41" s="2" t="n">
        <x:f>INDEX('sales_data'!$F$2:$F$1201,MATCH(5,'sales_data'!$J$2:$J$1201,0))</x:f>
        <x:v>10</x:v>
      </x:c>
      <x:c r="G41" s="7" t="n">
        <x:f>INDEX('sales_data'!$H$2:$H$1201,MATCH(5,'sales_data'!$J$2:$J$1201,0))</x:f>
        <x:v>1413023.5999999999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 t="n">
        <x:f>INDEX('sales_data'!$A$2:$A$1201,MATCH(6,'sales_data'!$J$2:$J$1201,0))</x:f>
        <x:v>29</x:v>
      </x:c>
      <x:c r="B42" s="6" t="n">
        <x:f>INDEX('sales_data'!$B$2:$B$1201,MATCH(6,'sales_data'!$J$2:$J$1201,0))</x:f>
        <x:v>45014</x:v>
      </x:c>
      <x:c r="C42" s="2" t="str">
        <x:f>INDEX('sales_data'!$D$2:$D$1201,MATCH(6,'sales_data'!$J$2:$J$1201,0))</x:f>
        <x:v>Планшет</x:v>
      </x:c>
      <x:c r="D42" s="2" t="str">
        <x:f>INDEX('sales_data'!$C$2:$C$1201,MATCH(6,'sales_data'!$J$2:$J$1201,0))</x:f>
        <x:v>Электроника</x:v>
      </x:c>
      <x:c r="E42" s="2" t="str">
        <x:f>INDEX('sales_data'!$G$2:$G$1201,MATCH(6,'sales_data'!$J$2:$J$1201,0))</x:f>
        <x:v>Екатеринбург</x:v>
      </x:c>
      <x:c r="F42" s="2" t="n">
        <x:f>INDEX('sales_data'!$F$2:$F$1201,MATCH(6,'sales_data'!$J$2:$J$1201,0))</x:f>
        <x:v>10</x:v>
      </x:c>
      <x:c r="G42" s="7" t="n">
        <x:f>INDEX('sales_data'!$H$2:$H$1201,MATCH(6,'sales_data'!$J$2:$J$1201,0))</x:f>
        <x:v>1394792.9000000001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 t="n">
        <x:f>INDEX('sales_data'!$A$2:$A$1201,MATCH(7,'sales_data'!$J$2:$J$1201,0))</x:f>
        <x:v>354</x:v>
      </x:c>
      <x:c r="B43" s="6" t="n">
        <x:f>INDEX('sales_data'!$B$2:$B$1201,MATCH(7,'sales_data'!$J$2:$J$1201,0))</x:f>
        <x:v>44989</x:v>
      </x:c>
      <x:c r="C43" s="2" t="str">
        <x:f>INDEX('sales_data'!$D$2:$D$1201,MATCH(7,'sales_data'!$J$2:$J$1201,0))</x:f>
        <x:v>Наушники</x:v>
      </x:c>
      <x:c r="D43" s="2" t="str">
        <x:f>INDEX('sales_data'!$C$2:$C$1201,MATCH(7,'sales_data'!$J$2:$J$1201,0))</x:f>
        <x:v>Электроника</x:v>
      </x:c>
      <x:c r="E43" s="2" t="str">
        <x:f>INDEX('sales_data'!$G$2:$G$1201,MATCH(7,'sales_data'!$J$2:$J$1201,0))</x:f>
        <x:v>Московская область</x:v>
      </x:c>
      <x:c r="F43" s="2" t="n">
        <x:f>INDEX('sales_data'!$F$2:$F$1201,MATCH(7,'sales_data'!$J$2:$J$1201,0))</x:f>
        <x:v>10</x:v>
      </x:c>
      <x:c r="G43" s="7" t="n">
        <x:f>INDEX('sales_data'!$H$2:$H$1201,MATCH(7,'sales_data'!$J$2:$J$1201,0))</x:f>
        <x:v>1367179.1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 t="n">
        <x:f>INDEX('sales_data'!$A$2:$A$1201,MATCH(8,'sales_data'!$J$2:$J$1201,0))</x:f>
        <x:v>282</x:v>
      </x:c>
      <x:c r="B44" s="6" t="n">
        <x:f>INDEX('sales_data'!$B$2:$B$1201,MATCH(8,'sales_data'!$J$2:$J$1201,0))</x:f>
        <x:v>45276</x:v>
      </x:c>
      <x:c r="C44" s="2" t="str">
        <x:f>INDEX('sales_data'!$D$2:$D$1201,MATCH(8,'sales_data'!$J$2:$J$1201,0))</x:f>
        <x:v>Шоколад</x:v>
      </x:c>
      <x:c r="D44" s="2" t="str">
        <x:f>INDEX('sales_data'!$C$2:$C$1201,MATCH(8,'sales_data'!$J$2:$J$1201,0))</x:f>
        <x:v>Продукты</x:v>
      </x:c>
      <x:c r="E44" s="2" t="str">
        <x:f>INDEX('sales_data'!$G$2:$G$1201,MATCH(8,'sales_data'!$J$2:$J$1201,0))</x:f>
        <x:v>Казань</x:v>
      </x:c>
      <x:c r="F44" s="2" t="n">
        <x:f>INDEX('sales_data'!$F$2:$F$1201,MATCH(8,'sales_data'!$J$2:$J$1201,0))</x:f>
        <x:v>10</x:v>
      </x:c>
      <x:c r="G44" s="7" t="n">
        <x:f>INDEX('sales_data'!$H$2:$H$1201,MATCH(8,'sales_data'!$J$2:$J$1201,0))</x:f>
        <x:v>1338795.6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 t="n">
        <x:f>INDEX('sales_data'!$A$2:$A$1201,MATCH(9,'sales_data'!$J$2:$J$1201,0))</x:f>
        <x:v>401</x:v>
      </x:c>
      <x:c r="B45" s="6" t="n">
        <x:f>INDEX('sales_data'!$B$2:$B$1201,MATCH(9,'sales_data'!$J$2:$J$1201,0))</x:f>
        <x:v>45289</x:v>
      </x:c>
      <x:c r="C45" s="2" t="str">
        <x:f>INDEX('sales_data'!$D$2:$D$1201,MATCH(9,'sales_data'!$J$2:$J$1201,0))</x:f>
        <x:v>Куртка</x:v>
      </x:c>
      <x:c r="D45" s="2" t="str">
        <x:f>INDEX('sales_data'!$C$2:$C$1201,MATCH(9,'sales_data'!$J$2:$J$1201,0))</x:f>
        <x:v>Одежда</x:v>
      </x:c>
      <x:c r="E45" s="2" t="str">
        <x:f>INDEX('sales_data'!$G$2:$G$1201,MATCH(9,'sales_data'!$J$2:$J$1201,0))</x:f>
        <x:v>Екатеринбург</x:v>
      </x:c>
      <x:c r="F45" s="2" t="n">
        <x:f>INDEX('sales_data'!$F$2:$F$1201,MATCH(9,'sales_data'!$J$2:$J$1201,0))</x:f>
        <x:v>10</x:v>
      </x:c>
      <x:c r="G45" s="7" t="n">
        <x:f>INDEX('sales_data'!$H$2:$H$1201,MATCH(9,'sales_data'!$J$2:$J$1201,0))</x:f>
        <x:v>1336724.7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 t="n">
        <x:f>INDEX('sales_data'!$A$2:$A$1201,MATCH(10,'sales_data'!$J$2:$J$1201,0))</x:f>
        <x:v>272</x:v>
      </x:c>
      <x:c r="B46" s="6" t="n">
        <x:f>INDEX('sales_data'!$B$2:$B$1201,MATCH(10,'sales_data'!$J$2:$J$1201,0))</x:f>
        <x:v>45193</x:v>
      </x:c>
      <x:c r="C46" s="2" t="str">
        <x:f>INDEX('sales_data'!$D$2:$D$1201,MATCH(10,'sales_data'!$J$2:$J$1201,0))</x:f>
        <x:v>Джинсы</x:v>
      </x:c>
      <x:c r="D46" s="2" t="str">
        <x:f>INDEX('sales_data'!$C$2:$C$1201,MATCH(10,'sales_data'!$J$2:$J$1201,0))</x:f>
        <x:v>Одежда</x:v>
      </x:c>
      <x:c r="E46" s="2" t="str">
        <x:f>INDEX('sales_data'!$G$2:$G$1201,MATCH(10,'sales_data'!$J$2:$J$1201,0))</x:f>
        <x:v>Московская область</x:v>
      </x:c>
      <x:c r="F46" s="2" t="n">
        <x:f>INDEX('sales_data'!$F$2:$F$1201,MATCH(10,'sales_data'!$J$2:$J$1201,0))</x:f>
        <x:v>10</x:v>
      </x:c>
      <x:c r="G46" s="7" t="n">
        <x:f>INDEX('sales_data'!$H$2:$H$1201,MATCH(10,'sales_data'!$J$2:$J$1201,0))</x:f>
        <x:v>1326438.2000000002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30" customHeight="1">
      <x:c r="A49" s="10" t="str">
        <x:v>Продажи всех товаров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5" customHeight="1">
      <x:c r="A50" s="5" t="str">
        <x:v>Товар</x:v>
      </x:c>
      <x:c r="B50" s="5" t="str">
        <x:v>Количество, шт.</x:v>
      </x:c>
      <x:c r="C50" s="5" t="str">
        <x:v>Выручка, ден. ед.</x:v>
      </x:c>
      <x:c r="D50" s="5" t="str">
        <x:v>Место по количеству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 t="str">
        <x:v>Джинсы</x:v>
      </x:c>
      <x:c r="B51" s="2" t="n">
        <x:f>SUMIFS('sales_data'!$F$2:$F$1201,'sales_data'!$D$2:$D$1201,A51)</x:f>
        <x:v>309</x:v>
      </x:c>
      <x:c r="C51" s="7" t="n">
        <x:f>SUMIFS('sales_data'!$H$2:$H$1201,'sales_data'!$D$2:$D$1201,A51)</x:f>
        <x:v>21122679.450000003</x:v>
      </x:c>
      <x:c r="D51" s="2" t="n">
        <x:f>COUNTIFS($B$51:$B$66,"&gt;"&amp;B51)+COUNTIFS($B$51:B51,B51)</x:f>
        <x:v>16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 t="str">
        <x:v>Кофе</x:v>
      </x:c>
      <x:c r="B52" s="2" t="n">
        <x:f>SUMIFS('sales_data'!$F$2:$F$1201,'sales_data'!$D$2:$D$1201,A52)</x:f>
        <x:v>493</x:v>
      </x:c>
      <x:c r="C52" s="7" t="n">
        <x:f>SUMIFS('sales_data'!$H$2:$H$1201,'sales_data'!$D$2:$D$1201,A52)</x:f>
        <x:v>37886516.75999998</x:v>
      </x:c>
      <x:c r="D52" s="2" t="n">
        <x:f>COUNTIFS($B$51:$B$66,"&gt;"&amp;B52)+COUNTIFS($B$51:B52,B52)</x:f>
        <x:v>2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 t="str">
        <x:v>Кроссовки</x:v>
      </x:c>
      <x:c r="B53" s="2" t="n">
        <x:f>SUMIFS('sales_data'!$F$2:$F$1201,'sales_data'!$D$2:$D$1201,A53)</x:f>
        <x:v>332</x:v>
      </x:c>
      <x:c r="C53" s="7" t="n">
        <x:f>SUMIFS('sales_data'!$H$2:$H$1201,'sales_data'!$D$2:$D$1201,A53)</x:f>
        <x:v>24035416.849999998</x:v>
      </x:c>
      <x:c r="D53" s="2" t="n">
        <x:f>COUNTIFS($B$51:$B$66,"&gt;"&amp;B53)+COUNTIFS($B$51:B53,B53)</x:f>
        <x:v>14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 t="str">
        <x:v>Кружка</x:v>
      </x:c>
      <x:c r="B54" s="2" t="n">
        <x:f>SUMIFS('sales_data'!$F$2:$F$1201,'sales_data'!$D$2:$D$1201,A54)</x:f>
        <x:v>442</x:v>
      </x:c>
      <x:c r="C54" s="7" t="n">
        <x:f>SUMIFS('sales_data'!$H$2:$H$1201,'sales_data'!$D$2:$D$1201,A54)</x:f>
        <x:v>34175600.69</x:v>
      </x:c>
      <x:c r="D54" s="2" t="n">
        <x:f>COUNTIFS($B$51:$B$66,"&gt;"&amp;B54)+COUNTIFS($B$51:B54,B54)</x:f>
        <x:v>7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 t="str">
        <x:v>Куртка</x:v>
      </x:c>
      <x:c r="B55" s="2" t="n">
        <x:f>SUMIFS('sales_data'!$F$2:$F$1201,'sales_data'!$D$2:$D$1201,A55)</x:f>
        <x:v>476</x:v>
      </x:c>
      <x:c r="C55" s="7" t="n">
        <x:f>SUMIFS('sales_data'!$H$2:$H$1201,'sales_data'!$D$2:$D$1201,A55)</x:f>
        <x:v>35283629.620000005</x:v>
      </x:c>
      <x:c r="D55" s="2" t="n">
        <x:f>COUNTIFS($B$51:$B$66,"&gt;"&amp;B55)+COUNTIFS($B$51:B55,B55)</x:f>
        <x:v>4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 t="str">
        <x:v>Молоко</x:v>
      </x:c>
      <x:c r="B56" s="2" t="n">
        <x:f>SUMIFS('sales_data'!$F$2:$F$1201,'sales_data'!$D$2:$D$1201,A56)</x:f>
        <x:v>403</x:v>
      </x:c>
      <x:c r="C56" s="7" t="n">
        <x:f>SUMIFS('sales_data'!$H$2:$H$1201,'sales_data'!$D$2:$D$1201,A56)</x:f>
        <x:v>31913163.690000005</x:v>
      </x:c>
      <x:c r="D56" s="2" t="n">
        <x:f>COUNTIFS($B$51:$B$66,"&gt;"&amp;B56)+COUNTIFS($B$51:B56,B56)</x:f>
        <x:v>11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 t="str">
        <x:v>Наушники</x:v>
      </x:c>
      <x:c r="B57" s="2" t="n">
        <x:f>SUMIFS('sales_data'!$F$2:$F$1201,'sales_data'!$D$2:$D$1201,A57)</x:f>
        <x:v>342</x:v>
      </x:c>
      <x:c r="C57" s="7" t="n">
        <x:f>SUMIFS('sales_data'!$H$2:$H$1201,'sales_data'!$D$2:$D$1201,A57)</x:f>
        <x:v>24154140.119999997</x:v>
      </x:c>
      <x:c r="D57" s="2" t="n">
        <x:f>COUNTIFS($B$51:$B$66,"&gt;"&amp;B57)+COUNTIFS($B$51:B57,B57)</x:f>
        <x:v>13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 t="str">
        <x:v>Ноутбук</x:v>
      </x:c>
      <x:c r="B58" s="2" t="n">
        <x:f>SUMIFS('sales_data'!$F$2:$F$1201,'sales_data'!$D$2:$D$1201,A58)</x:f>
        <x:v>314</x:v>
      </x:c>
      <x:c r="C58" s="7" t="n">
        <x:f>SUMIFS('sales_data'!$H$2:$H$1201,'sales_data'!$D$2:$D$1201,A58)</x:f>
        <x:v>24225601.33000001</x:v>
      </x:c>
      <x:c r="D58" s="2" t="n">
        <x:f>COUNTIFS($B$51:$B$66,"&gt;"&amp;B58)+COUNTIFS($B$51:B58,B58)</x:f>
        <x:v>15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 t="str">
        <x:v>Планшет</x:v>
      </x:c>
      <x:c r="B59" s="2" t="n">
        <x:f>SUMIFS('sales_data'!$F$2:$F$1201,'sales_data'!$D$2:$D$1201,A59)</x:f>
        <x:v>426</x:v>
      </x:c>
      <x:c r="C59" s="7" t="n">
        <x:f>SUMIFS('sales_data'!$H$2:$H$1201,'sales_data'!$D$2:$D$1201,A59)</x:f>
        <x:v>36237664.31</x:v>
      </x:c>
      <x:c r="D59" s="2" t="n">
        <x:f>COUNTIFS($B$51:$B$66,"&gt;"&amp;B59)+COUNTIFS($B$51:B59,B59)</x:f>
        <x:v>9</x:v>
      </x:c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 t="str">
        <x:v>Плед</x:v>
      </x:c>
      <x:c r="B60" s="2" t="n">
        <x:f>SUMIFS('sales_data'!$F$2:$F$1201,'sales_data'!$D$2:$D$1201,A60)</x:f>
        <x:v>461</x:v>
      </x:c>
      <x:c r="C60" s="7" t="n">
        <x:f>SUMIFS('sales_data'!$H$2:$H$1201,'sales_data'!$D$2:$D$1201,A60)</x:f>
        <x:v>33304959.070000008</x:v>
      </x:c>
      <x:c r="D60" s="2" t="n">
        <x:f>COUNTIFS($B$51:$B$66,"&gt;"&amp;B60)+COUNTIFS($B$51:B60,B60)</x:f>
        <x:v>5</x:v>
      </x:c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 t="str">
        <x:v>Подушка</x:v>
      </x:c>
      <x:c r="B61" s="2" t="n">
        <x:f>SUMIFS('sales_data'!$F$2:$F$1201,'sales_data'!$D$2:$D$1201,A61)</x:f>
        <x:v>432</x:v>
      </x:c>
      <x:c r="C61" s="7" t="n">
        <x:f>SUMIFS('sales_data'!$H$2:$H$1201,'sales_data'!$D$2:$D$1201,A61)</x:f>
        <x:v>32156565.93</x:v>
      </x:c>
      <x:c r="D61" s="2" t="n">
        <x:f>COUNTIFS($B$51:$B$66,"&gt;"&amp;B61)+COUNTIFS($B$51:B61,B61)</x:f>
        <x:v>8</x:v>
      </x:c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 t="str">
        <x:v>Полотенце</x:v>
      </x:c>
      <x:c r="B62" s="2" t="n">
        <x:f>SUMIFS('sales_data'!$F$2:$F$1201,'sales_data'!$D$2:$D$1201,A62)</x:f>
        <x:v>507</x:v>
      </x:c>
      <x:c r="C62" s="7" t="n">
        <x:f>SUMIFS('sales_data'!$H$2:$H$1201,'sales_data'!$D$2:$D$1201,A62)</x:f>
        <x:v>36653170.17999999</x:v>
      </x:c>
      <x:c r="D62" s="2" t="n">
        <x:f>COUNTIFS($B$51:$B$66,"&gt;"&amp;B62)+COUNTIFS($B$51:B62,B62)</x:f>
        <x:v>1</x:v>
      </x:c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 t="str">
        <x:v>Смартфон</x:v>
      </x:c>
      <x:c r="B63" s="2" t="n">
        <x:f>SUMIFS('sales_data'!$F$2:$F$1201,'sales_data'!$D$2:$D$1201,A63)</x:f>
        <x:v>358</x:v>
      </x:c>
      <x:c r="C63" s="7" t="n">
        <x:f>SUMIFS('sales_data'!$H$2:$H$1201,'sales_data'!$D$2:$D$1201,A63)</x:f>
        <x:v>28495352.839999992</x:v>
      </x:c>
      <x:c r="D63" s="2" t="n">
        <x:f>COUNTIFS($B$51:$B$66,"&gt;"&amp;B63)+COUNTIFS($B$51:B63,B63)</x:f>
        <x:v>12</x:v>
      </x:c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 t="str">
        <x:v>Футболка</x:v>
      </x:c>
      <x:c r="B64" s="2" t="n">
        <x:f>SUMIFS('sales_data'!$F$2:$F$1201,'sales_data'!$D$2:$D$1201,A64)</x:f>
        <x:v>458</x:v>
      </x:c>
      <x:c r="C64" s="7" t="n">
        <x:f>SUMIFS('sales_data'!$H$2:$H$1201,'sales_data'!$D$2:$D$1201,A64)</x:f>
        <x:v>31316507.58</x:v>
      </x:c>
      <x:c r="D64" s="2" t="n">
        <x:f>COUNTIFS($B$51:$B$66,"&gt;"&amp;B64)+COUNTIFS($B$51:B64,B64)</x:f>
        <x:v>6</x:v>
      </x:c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 t="str">
        <x:v>Хлеб</x:v>
      </x:c>
      <x:c r="B65" s="2" t="n">
        <x:f>SUMIFS('sales_data'!$F$2:$F$1201,'sales_data'!$D$2:$D$1201,A65)</x:f>
        <x:v>488</x:v>
      </x:c>
      <x:c r="C65" s="7" t="n">
        <x:f>SUMIFS('sales_data'!$H$2:$H$1201,'sales_data'!$D$2:$D$1201,A65)</x:f>
        <x:v>35775497.38</x:v>
      </x:c>
      <x:c r="D65" s="2" t="n">
        <x:f>COUNTIFS($B$51:$B$66,"&gt;"&amp;B65)+COUNTIFS($B$51:B65,B65)</x:f>
        <x:v>3</x:v>
      </x:c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 t="str">
        <x:v>Шоколад</x:v>
      </x:c>
      <x:c r="B66" s="2" t="n">
        <x:f>SUMIFS('sales_data'!$F$2:$F$1201,'sales_data'!$D$2:$D$1201,A66)</x:f>
        <x:v>405</x:v>
      </x:c>
      <x:c r="C66" s="7" t="n">
        <x:f>SUMIFS('sales_data'!$H$2:$H$1201,'sales_data'!$D$2:$D$1201,A66)</x:f>
        <x:v>34426228.38</x:v>
      </x:c>
      <x:c r="D66" s="2" t="n">
        <x:f>COUNTIFS($B$51:$B$66,"&gt;"&amp;B66)+COUNTIFS($B$51:B66,B66)</x:f>
        <x:v>10</x:v>
      </x:c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30" customHeight="1">
      <x:c r="A69" s="10" t="str">
        <x:v>Проверка исходных данных</x:v>
      </x:c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 t="str">
        <x:v>Пустые строки</x:v>
      </x:c>
      <x:c r="B70" s="2" t="n">
        <x:v>0</x:v>
      </x:c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 t="str">
        <x:v>Пустые ячейки</x:v>
      </x:c>
      <x:c r="B71" s="2" t="n">
        <x:v>0</x:v>
      </x:c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 t="str">
        <x:v>Отрицательные значения</x:v>
      </x:c>
      <x:c r="B72" s="2" t="n">
        <x:v>0</x:v>
      </x:c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 t="str">
        <x:v>Некорректные даты</x:v>
      </x:c>
      <x:c r="B73" s="2" t="n">
        <x:v>0</x:v>
      </x:c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 t="str">
        <x:v>Повторяющиеся OrderID</x:v>
      </x:c>
      <x:c r="B74" s="2" t="n">
        <x:v>0</x:v>
      </x:c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 t="str">
        <x:v>Валюта</x:v>
      </x:c>
      <x:c r="B75" s="2" t="str">
        <x:v>Не указана в исходнике</x:v>
      </x:c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 t="str">
        <x:v>Средняя цена рассчитана как среднее Price по строкам категории.</x:v>
      </x:c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</x:sheetData>
  <x:pageMargins left="0.7" right="0.7" top="0.75" bottom="0.75" header="0.3" footer="0.3"/>
  <x:drawing xmlns:r="http://schemas.openxmlformats.org/officeDocument/2006/relationships" r:id="Rac85e0e8f69c4230"/>
</x:worksheet>
</file>

<file path=xl/worksheets/sheet2.xml><?xml version="1.0" encoding="utf-8"?>
<x:worksheet xmlns:x="http://schemas.openxmlformats.org/spreadsheetml/2006/main">
  <x:sheetPr>
    <x:tabColor rgb="FF617D99"/>
  </x:sheetPr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2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10" t="str">
        <x:v>Помесячная выручка и категории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5" customHeight="1">
      <x:c r="A4" s="5" t="str">
        <x:v>Month</x:v>
      </x:c>
      <x:c r="B4" s="5" t="str">
        <x:v>Сумма Total</x:v>
      </x:c>
      <x:c r="C4" s="2"/>
      <x:c r="D4" s="5" t="str">
        <x:v>Месяц</x:v>
      </x:c>
      <x:c r="E4" s="5" t="str">
        <x:v>Одежда</x:v>
      </x:c>
      <x:c r="F4" s="5" t="str">
        <x:v>Продукты</x:v>
      </x:c>
      <x:c r="G4" s="5" t="str">
        <x:v>Товары для дома</x:v>
      </x:c>
      <x:c r="H4" s="5" t="str">
        <x:v>Электроника</x:v>
      </x:c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 t="str">
        <x:v>2023-01</x:v>
      </x:c>
      <x:c r="B5" s="7" t="n">
        <x:v>40161032.71</x:v>
      </x:c>
      <x:c r="C5" s="2"/>
      <x:c r="D5" s="2" t="str">
        <x:v>2023-01</x:v>
      </x:c>
      <x:c r="E5" s="7" t="n">
        <x:f>SUMIFS('sales_data'!$H$2:$H$1201,'sales_data'!$I$2:$I$1201,$D5,'sales_data'!$C$2:$C$1201,E$4)</x:f>
        <x:v>6643127.8599999985</x:v>
      </x:c>
      <x:c r="F5" s="7" t="n">
        <x:f>SUMIFS('sales_data'!$H$2:$H$1201,'sales_data'!$I$2:$I$1201,$D5,'sales_data'!$C$2:$C$1201,F$4)</x:f>
        <x:v>3971557.02</x:v>
      </x:c>
      <x:c r="G5" s="7" t="n">
        <x:f>SUMIFS('sales_data'!$H$2:$H$1201,'sales_data'!$I$2:$I$1201,$D5,'sales_data'!$C$2:$C$1201,G$4)</x:f>
        <x:v>17160111.369999997</x:v>
      </x:c>
      <x:c r="H5" s="7" t="n">
        <x:f>SUMIFS('sales_data'!$H$2:$H$1201,'sales_data'!$I$2:$I$1201,$D5,'sales_data'!$C$2:$C$1201,H$4)</x:f>
        <x:v>12386236.46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 t="str">
        <x:v>2023-02</x:v>
      </x:c>
      <x:c r="B6" s="7" t="n">
        <x:v>37386974.95</x:v>
      </x:c>
      <x:c r="C6" s="2"/>
      <x:c r="D6" s="2" t="str">
        <x:v>2023-02</x:v>
      </x:c>
      <x:c r="E6" s="7" t="n">
        <x:f>SUMIFS('sales_data'!$H$2:$H$1201,'sales_data'!$I$2:$I$1201,$D6,'sales_data'!$C$2:$C$1201,E$4)</x:f>
        <x:v>7014828.15</x:v>
      </x:c>
      <x:c r="F6" s="7" t="n">
        <x:f>SUMIFS('sales_data'!$H$2:$H$1201,'sales_data'!$I$2:$I$1201,$D6,'sales_data'!$C$2:$C$1201,F$4)</x:f>
        <x:v>9997617.240000002</x:v>
      </x:c>
      <x:c r="G6" s="7" t="n">
        <x:f>SUMIFS('sales_data'!$H$2:$H$1201,'sales_data'!$I$2:$I$1201,$D6,'sales_data'!$C$2:$C$1201,G$4)</x:f>
        <x:v>6471064.910000001</x:v>
      </x:c>
      <x:c r="H6" s="7" t="n">
        <x:f>SUMIFS('sales_data'!$H$2:$H$1201,'sales_data'!$I$2:$I$1201,$D6,'sales_data'!$C$2:$C$1201,H$4)</x:f>
        <x:v>13903464.650000002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 t="str">
        <x:v>2023-03</x:v>
      </x:c>
      <x:c r="B7" s="7" t="n">
        <x:v>38032396.3</x:v>
      </x:c>
      <x:c r="C7" s="2"/>
      <x:c r="D7" s="2" t="str">
        <x:v>2023-03</x:v>
      </x:c>
      <x:c r="E7" s="7" t="n">
        <x:f>SUMIFS('sales_data'!$H$2:$H$1201,'sales_data'!$I$2:$I$1201,$D7,'sales_data'!$C$2:$C$1201,E$4)</x:f>
        <x:v>6623059.42</x:v>
      </x:c>
      <x:c r="F7" s="7" t="n">
        <x:f>SUMIFS('sales_data'!$H$2:$H$1201,'sales_data'!$I$2:$I$1201,$D7,'sales_data'!$C$2:$C$1201,F$4)</x:f>
        <x:v>9811857.120000001</x:v>
      </x:c>
      <x:c r="G7" s="7" t="n">
        <x:f>SUMIFS('sales_data'!$H$2:$H$1201,'sales_data'!$I$2:$I$1201,$D7,'sales_data'!$C$2:$C$1201,G$4)</x:f>
        <x:v>9433317.400000002</x:v>
      </x:c>
      <x:c r="H7" s="7" t="n">
        <x:f>SUMIFS('sales_data'!$H$2:$H$1201,'sales_data'!$I$2:$I$1201,$D7,'sales_data'!$C$2:$C$1201,H$4)</x:f>
        <x:v>12164162.360000003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 t="str">
        <x:v>2023-04</x:v>
      </x:c>
      <x:c r="B8" s="7" t="n">
        <x:v>42708719.55</x:v>
      </x:c>
      <x:c r="C8" s="2"/>
      <x:c r="D8" s="2" t="str">
        <x:v>2023-04</x:v>
      </x:c>
      <x:c r="E8" s="7" t="n">
        <x:f>SUMIFS('sales_data'!$H$2:$H$1201,'sales_data'!$I$2:$I$1201,$D8,'sales_data'!$C$2:$C$1201,E$4)</x:f>
        <x:v>12610602.230000002</x:v>
      </x:c>
      <x:c r="F8" s="7" t="n">
        <x:f>SUMIFS('sales_data'!$H$2:$H$1201,'sales_data'!$I$2:$I$1201,$D8,'sales_data'!$C$2:$C$1201,F$4)</x:f>
        <x:v>10859145.430000002</x:v>
      </x:c>
      <x:c r="G8" s="7" t="n">
        <x:f>SUMIFS('sales_data'!$H$2:$H$1201,'sales_data'!$I$2:$I$1201,$D8,'sales_data'!$C$2:$C$1201,G$4)</x:f>
        <x:v>12889054.930000002</x:v>
      </x:c>
      <x:c r="H8" s="7" t="n">
        <x:f>SUMIFS('sales_data'!$H$2:$H$1201,'sales_data'!$I$2:$I$1201,$D8,'sales_data'!$C$2:$C$1201,H$4)</x:f>
        <x:v>6349916.959999999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2023-05</x:v>
      </x:c>
      <x:c r="B9" s="7" t="n">
        <x:v>41600638.02</x:v>
      </x:c>
      <x:c r="C9" s="2"/>
      <x:c r="D9" s="2" t="str">
        <x:v>2023-05</x:v>
      </x:c>
      <x:c r="E9" s="7" t="n">
        <x:f>SUMIFS('sales_data'!$H$2:$H$1201,'sales_data'!$I$2:$I$1201,$D9,'sales_data'!$C$2:$C$1201,E$4)</x:f>
        <x:v>7162845.629999999</x:v>
      </x:c>
      <x:c r="F9" s="7" t="n">
        <x:f>SUMIFS('sales_data'!$H$2:$H$1201,'sales_data'!$I$2:$I$1201,$D9,'sales_data'!$C$2:$C$1201,F$4)</x:f>
        <x:v>12558812.719999995</x:v>
      </x:c>
      <x:c r="G9" s="7" t="n">
        <x:f>SUMIFS('sales_data'!$H$2:$H$1201,'sales_data'!$I$2:$I$1201,$D9,'sales_data'!$C$2:$C$1201,G$4)</x:f>
        <x:v>14664693.36</x:v>
      </x:c>
      <x:c r="H9" s="7" t="n">
        <x:f>SUMIFS('sales_data'!$H$2:$H$1201,'sales_data'!$I$2:$I$1201,$D9,'sales_data'!$C$2:$C$1201,H$4)</x:f>
        <x:v>7214286.3100000005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 t="str">
        <x:v>2023-06</x:v>
      </x:c>
      <x:c r="B10" s="7" t="n">
        <x:v>39883809.07</x:v>
      </x:c>
      <x:c r="C10" s="2"/>
      <x:c r="D10" s="2" t="str">
        <x:v>2023-06</x:v>
      </x:c>
      <x:c r="E10" s="7" t="n">
        <x:f>SUMIFS('sales_data'!$H$2:$H$1201,'sales_data'!$I$2:$I$1201,$D10,'sales_data'!$C$2:$C$1201,E$4)</x:f>
        <x:v>8721687.77</x:v>
      </x:c>
      <x:c r="F10" s="7" t="n">
        <x:f>SUMIFS('sales_data'!$H$2:$H$1201,'sales_data'!$I$2:$I$1201,$D10,'sales_data'!$C$2:$C$1201,F$4)</x:f>
        <x:v>10625612.31</x:v>
      </x:c>
      <x:c r="G10" s="7" t="n">
        <x:f>SUMIFS('sales_data'!$H$2:$H$1201,'sales_data'!$I$2:$I$1201,$D10,'sales_data'!$C$2:$C$1201,G$4)</x:f>
        <x:v>14254148.36</x:v>
      </x:c>
      <x:c r="H10" s="7" t="n">
        <x:f>SUMIFS('sales_data'!$H$2:$H$1201,'sales_data'!$I$2:$I$1201,$D10,'sales_data'!$C$2:$C$1201,H$4)</x:f>
        <x:v>6282360.63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2023-07</x:v>
      </x:c>
      <x:c r="B11" s="7" t="n">
        <x:v>38890200.17</x:v>
      </x:c>
      <x:c r="C11" s="2"/>
      <x:c r="D11" s="2" t="str">
        <x:v>2023-07</x:v>
      </x:c>
      <x:c r="E11" s="7" t="n">
        <x:f>SUMIFS('sales_data'!$H$2:$H$1201,'sales_data'!$I$2:$I$1201,$D11,'sales_data'!$C$2:$C$1201,E$4)</x:f>
        <x:v>9265537.51</x:v>
      </x:c>
      <x:c r="F11" s="7" t="n">
        <x:f>SUMIFS('sales_data'!$H$2:$H$1201,'sales_data'!$I$2:$I$1201,$D11,'sales_data'!$C$2:$C$1201,F$4)</x:f>
        <x:v>17240290.66</x:v>
      </x:c>
      <x:c r="G11" s="7" t="n">
        <x:f>SUMIFS('sales_data'!$H$2:$H$1201,'sales_data'!$I$2:$I$1201,$D11,'sales_data'!$C$2:$C$1201,G$4)</x:f>
        <x:v>5665644.9799999995</x:v>
      </x:c>
      <x:c r="H11" s="7" t="n">
        <x:f>SUMIFS('sales_data'!$H$2:$H$1201,'sales_data'!$I$2:$I$1201,$D11,'sales_data'!$C$2:$C$1201,H$4)</x:f>
        <x:v>6718727.0200000005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 t="str">
        <x:v>2023-08</x:v>
      </x:c>
      <x:c r="B12" s="7" t="n">
        <x:v>39979970.36</x:v>
      </x:c>
      <x:c r="C12" s="2"/>
      <x:c r="D12" s="2" t="str">
        <x:v>2023-08</x:v>
      </x:c>
      <x:c r="E12" s="7" t="n">
        <x:f>SUMIFS('sales_data'!$H$2:$H$1201,'sales_data'!$I$2:$I$1201,$D12,'sales_data'!$C$2:$C$1201,E$4)</x:f>
        <x:v>10301861.29</x:v>
      </x:c>
      <x:c r="F12" s="7" t="n">
        <x:f>SUMIFS('sales_data'!$H$2:$H$1201,'sales_data'!$I$2:$I$1201,$D12,'sales_data'!$C$2:$C$1201,F$4)</x:f>
        <x:v>16729200</x:v>
      </x:c>
      <x:c r="G12" s="7" t="n">
        <x:f>SUMIFS('sales_data'!$H$2:$H$1201,'sales_data'!$I$2:$I$1201,$D12,'sales_data'!$C$2:$C$1201,G$4)</x:f>
        <x:v>7692493.159999998</x:v>
      </x:c>
      <x:c r="H12" s="7" t="n">
        <x:f>SUMIFS('sales_data'!$H$2:$H$1201,'sales_data'!$I$2:$I$1201,$D12,'sales_data'!$C$2:$C$1201,H$4)</x:f>
        <x:v>5256415.909999999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2023-09</x:v>
      </x:c>
      <x:c r="B13" s="7" t="n">
        <x:v>40218791.23</x:v>
      </x:c>
      <x:c r="C13" s="2"/>
      <x:c r="D13" s="2" t="str">
        <x:v>2023-09</x:v>
      </x:c>
      <x:c r="E13" s="7" t="n">
        <x:f>SUMIFS('sales_data'!$H$2:$H$1201,'sales_data'!$I$2:$I$1201,$D13,'sales_data'!$C$2:$C$1201,E$4)</x:f>
        <x:v>11181324.16</x:v>
      </x:c>
      <x:c r="F13" s="7" t="n">
        <x:f>SUMIFS('sales_data'!$H$2:$H$1201,'sales_data'!$I$2:$I$1201,$D13,'sales_data'!$C$2:$C$1201,F$4)</x:f>
        <x:v>9535161.969999999</x:v>
      </x:c>
      <x:c r="G13" s="7" t="n">
        <x:f>SUMIFS('sales_data'!$H$2:$H$1201,'sales_data'!$I$2:$I$1201,$D13,'sales_data'!$C$2:$C$1201,G$4)</x:f>
        <x:v>11780102.37</x:v>
      </x:c>
      <x:c r="H13" s="7" t="n">
        <x:f>SUMIFS('sales_data'!$H$2:$H$1201,'sales_data'!$I$2:$I$1201,$D13,'sales_data'!$C$2:$C$1201,H$4)</x:f>
        <x:v>7722202.7299999995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 t="str">
        <x:v>2023-10</x:v>
      </x:c>
      <x:c r="B14" s="7" t="n">
        <x:v>44104954.54</x:v>
      </x:c>
      <x:c r="C14" s="2"/>
      <x:c r="D14" s="2" t="str">
        <x:v>2023-10</x:v>
      </x:c>
      <x:c r="E14" s="7" t="n">
        <x:f>SUMIFS('sales_data'!$H$2:$H$1201,'sales_data'!$I$2:$I$1201,$D14,'sales_data'!$C$2:$C$1201,E$4)</x:f>
        <x:v>9532375.91</x:v>
      </x:c>
      <x:c r="F14" s="7" t="n">
        <x:f>SUMIFS('sales_data'!$H$2:$H$1201,'sales_data'!$I$2:$I$1201,$D14,'sales_data'!$C$2:$C$1201,F$4)</x:f>
        <x:v>12086007.27</x:v>
      </x:c>
      <x:c r="G14" s="7" t="n">
        <x:f>SUMIFS('sales_data'!$H$2:$H$1201,'sales_data'!$I$2:$I$1201,$D14,'sales_data'!$C$2:$C$1201,G$4)</x:f>
        <x:v>12829748.629999999</x:v>
      </x:c>
      <x:c r="H14" s="7" t="n">
        <x:f>SUMIFS('sales_data'!$H$2:$H$1201,'sales_data'!$I$2:$I$1201,$D14,'sales_data'!$C$2:$C$1201,H$4)</x:f>
        <x:v>9656822.729999999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v>2023-11</x:v>
      </x:c>
      <x:c r="B15" s="7" t="n">
        <x:v>46610157.27</x:v>
      </x:c>
      <x:c r="C15" s="2"/>
      <x:c r="D15" s="2" t="str">
        <x:v>2023-11</x:v>
      </x:c>
      <x:c r="E15" s="7" t="n">
        <x:f>SUMIFS('sales_data'!$H$2:$H$1201,'sales_data'!$I$2:$I$1201,$D15,'sales_data'!$C$2:$C$1201,E$4)</x:f>
        <x:v>11343063.990000002</x:v>
      </x:c>
      <x:c r="F15" s="7" t="n">
        <x:f>SUMIFS('sales_data'!$H$2:$H$1201,'sales_data'!$I$2:$I$1201,$D15,'sales_data'!$C$2:$C$1201,F$4)</x:f>
        <x:v>10918916.489999998</x:v>
      </x:c>
      <x:c r="G15" s="7" t="n">
        <x:f>SUMIFS('sales_data'!$H$2:$H$1201,'sales_data'!$I$2:$I$1201,$D15,'sales_data'!$C$2:$C$1201,G$4)</x:f>
        <x:v>11375926.81</x:v>
      </x:c>
      <x:c r="H15" s="7" t="n">
        <x:f>SUMIFS('sales_data'!$H$2:$H$1201,'sales_data'!$I$2:$I$1201,$D15,'sales_data'!$C$2:$C$1201,H$4)</x:f>
        <x:v>12972249.979999999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 t="str">
        <x:v>2023-12</x:v>
      </x:c>
      <x:c r="B16" s="7" t="n">
        <x:v>51585050.01</x:v>
      </x:c>
      <x:c r="C16" s="2"/>
      <x:c r="D16" s="2" t="str">
        <x:v>2023-12</x:v>
      </x:c>
      <x:c r="E16" s="7" t="n">
        <x:f>SUMIFS('sales_data'!$H$2:$H$1201,'sales_data'!$I$2:$I$1201,$D16,'sales_data'!$C$2:$C$1201,E$4)</x:f>
        <x:v>11357919.58</x:v>
      </x:c>
      <x:c r="F16" s="7" t="n">
        <x:f>SUMIFS('sales_data'!$H$2:$H$1201,'sales_data'!$I$2:$I$1201,$D16,'sales_data'!$C$2:$C$1201,F$4)</x:f>
        <x:v>15667227.980000004</x:v>
      </x:c>
      <x:c r="G16" s="7" t="n">
        <x:f>SUMIFS('sales_data'!$H$2:$H$1201,'sales_data'!$I$2:$I$1201,$D16,'sales_data'!$C$2:$C$1201,G$4)</x:f>
        <x:v>12073989.59</x:v>
      </x:c>
      <x:c r="H16" s="7" t="n">
        <x:f>SUMIFS('sales_data'!$H$2:$H$1201,'sales_data'!$I$2:$I$1201,$D16,'sales_data'!$C$2:$C$1201,H$4)</x:f>
        <x:v>12485912.859999998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5" t="str">
        <x:v>Общий итог</x:v>
      </x:c>
      <x:c r="B17" s="11" t="n">
        <x:v>501162694.18</x:v>
      </x:c>
      <x:c r="C17" s="2"/>
      <x:c r="D17" s="5" t="str">
        <x:v>Итого</x:v>
      </x:c>
      <x:c r="E17" s="11" t="n">
        <x:f>SUM(E5:E16)</x:f>
        <x:v>111758233.49999999</x:v>
      </x:c>
      <x:c r="F17" s="11" t="n">
        <x:f>SUM(F5:F16)</x:f>
        <x:v>140001406.20999998</x:v>
      </x:c>
      <x:c r="G17" s="11" t="n">
        <x:f>SUM(G5:G16)</x:f>
        <x:v>136290295.87</x:v>
      </x:c>
      <x:c r="H17" s="11" t="n">
        <x:f>SUM(H5:H16)</x:f>
        <x:v>113112758.60000002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30" customHeight="1">
      <x:c r="A20" s="10" t="str">
        <x:v>Рост выручки по категориям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5" t="str">
        <x:v>Категория</x:v>
      </x:c>
      <x:c r="B21" s="5" t="str">
        <x:v>Январь</x:v>
      </x:c>
      <x:c r="C21" s="5" t="str">
        <x:v>Декабрь</x:v>
      </x:c>
      <x:c r="D21" s="5" t="str">
        <x:v>Декабрь к январю</x:v>
      </x:c>
      <x:c r="E21" s="5" t="str">
        <x:v>Тренд, ден. ед./мес.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 t="str">
        <x:v>Одежда</x:v>
      </x:c>
      <x:c r="B22" s="7" t="n">
        <x:f>E5</x:f>
        <x:v>6643127.8599999985</x:v>
      </x:c>
      <x:c r="C22" s="7" t="n">
        <x:f>E16</x:f>
        <x:v>11357919.58</x:v>
      </x:c>
      <x:c r="D22" s="12" t="n">
        <x:f>C22/B22-1</x:f>
        <x:v>0.7097246687646928</x:v>
      </x:c>
      <x:c r="E22" s="7" t="n">
        <x:f>SLOPE(E5:E16,$A$31:$A$42)</x:f>
        <x:v>398589.34713286726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v>Продукты</x:v>
      </x:c>
      <x:c r="B23" s="7" t="n">
        <x:f>F5</x:f>
        <x:v>3971557.02</x:v>
      </x:c>
      <x:c r="C23" s="7" t="n">
        <x:f>F16</x:f>
        <x:v>15667227.980000004</x:v>
      </x:c>
      <x:c r="D23" s="12" t="n">
        <x:f>C23/B23-1</x:f>
        <x:v>2.9448578733989836</x:v>
      </x:c>
      <x:c r="E23" s="7" t="n">
        <x:f>SLOPE(F5:F16,$A$31:$A$42)</x:f>
        <x:v>578213.4536713287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 t="str">
        <x:v>Товары для дома</x:v>
      </x:c>
      <x:c r="B24" s="7" t="n">
        <x:f>G5</x:f>
        <x:v>17160111.369999997</x:v>
      </x:c>
      <x:c r="C24" s="7" t="n">
        <x:f>G16</x:f>
        <x:v>12073989.59</x:v>
      </x:c>
      <x:c r="D24" s="12" t="n">
        <x:f>C24/B24-1</x:f>
        <x:v>-0.2963921195110518</x:v>
      </x:c>
      <x:c r="E24" s="7" t="n">
        <x:f>SLOPE(G5:G16,$A$31:$A$42)</x:f>
        <x:v>-80693.81346153855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v>Электроника</x:v>
      </x:c>
      <x:c r="B25" s="7" t="n">
        <x:f>H5</x:f>
        <x:v>12386236.46</x:v>
      </x:c>
      <x:c r="C25" s="7" t="n">
        <x:f>H16</x:f>
        <x:v>12485912.859999998</x:v>
      </x:c>
      <x:c r="D25" s="12" t="n">
        <x:f>C25/B25-1</x:f>
        <x:v>0.008047351616601972</x:v>
      </x:c>
      <x:c r="E25" s="7" t="n">
        <x:f>SLOPE(H5:H16,$A$31:$A$42)</x:f>
        <x:v>-81859.03846153883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v>Рост за год оценён по декабрю к январю и по тренду всех 12 месяцев.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 t="str">
        <x:v>Сводная A4:B17: после изменения продаж используйте «Данные → Обновить всё».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 t="str">
        <x:v>Номер месяца для расчёта тренда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 t="n">
        <x:v>1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 t="n">
        <x:v>2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 t="n">
        <x:v>3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 t="n">
        <x:v>4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 t="n">
        <x:v>5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 t="n">
        <x:v>6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 t="n">
        <x:v>7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 t="n">
        <x:v>8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 t="n">
        <x:v>9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 t="n">
        <x:v>10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 t="n">
        <x:v>11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 t="n">
        <x:v>12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</x:sheetData>
  <x:pageMargins left="0.7" right="0.7" top="0.75" bottom="0.75" header="0.3" footer="0.3"/>
  <x:drawing xmlns:r="http://schemas.openxmlformats.org/officeDocument/2006/relationships" r:id="Re4e272f2337245fe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3" hidden="0" customWidth="1"/>
    <x:col min="4" max="4" width="22" hidden="0" customWidth="1"/>
    <x:col min="5" max="5" width="18" hidden="0" customWidth="1"/>
    <x:col min="6" max="6" width="13" hidden="0" customWidth="1"/>
    <x:col min="7" max="7" width="27" hidden="0" customWidth="1"/>
    <x:col min="8" max="8" width="21" hidden="0" customWidth="1"/>
    <x:col min="9" max="9" width="14" hidden="0" customWidth="1"/>
    <x:col min="10" max="10" width="16" hidden="0" customWidth="1"/>
    <x:col min="11" max="11" width="3" hidden="0" customWidth="1"/>
    <x:col min="12" max="12" width="38" hidden="0" customWidth="1"/>
  </x:cols>
  <x:sheetData>
    <x:row r="1" ht="25" customHeight="1">
      <x:c r="A1" s="5" t="str">
        <x:v>OrderID</x:v>
      </x:c>
      <x:c r="B1" s="5" t="str">
        <x:v>Date</x:v>
      </x:c>
      <x:c r="C1" s="5" t="str">
        <x:v>Category</x:v>
      </x:c>
      <x:c r="D1" s="5" t="str">
        <x:v>Product</x:v>
      </x:c>
      <x:c r="E1" s="5" t="str">
        <x:v>Price</x:v>
      </x:c>
      <x:c r="F1" s="5" t="str">
        <x:v>Quantity</x:v>
      </x:c>
      <x:c r="G1" s="5" t="str">
        <x:v>CustomerRegion</x:v>
      </x:c>
      <x:c r="H1" s="5" t="str">
        <x:v>Total</x:v>
      </x:c>
      <x:c r="I1" s="5" t="str">
        <x:v>Month</x:v>
      </x:c>
      <x:c r="J1" s="5" t="str">
        <x:v>RevenueRank</x:v>
      </x:c>
      <x:c r="K1" s="1"/>
      <x:c r="L1" s="1" t="str">
        <x:v>Источник: sales_dataset.xlsx</x:v>
      </x:c>
    </x:row>
    <x:row r="2" ht="22" customHeight="1">
      <x:c r="A2" s="8" t="n">
        <x:v>53</x:v>
      </x:c>
      <x:c r="B2" s="6" t="n">
        <x:v>44927</x:v>
      </x:c>
      <x:c r="C2" s="2" t="str">
        <x:v>Товары для дома</x:v>
      </x:c>
      <x:c r="D2" s="2" t="str">
        <x:v>Плед</x:v>
      </x:c>
      <x:c r="E2" s="7" t="n">
        <x:v>22142.31</x:v>
      </x:c>
      <x:c r="F2" s="9" t="n">
        <x:v>2</x:v>
      </x:c>
      <x:c r="G2" s="2" t="str">
        <x:v>Новосибирск</x:v>
      </x:c>
      <x:c r="H2" s="7" t="n">
        <x:f>E2*F2</x:f>
        <x:v>44284.62</x:v>
      </x:c>
      <x:c r="I2" s="2" t="str">
        <x:f>TEXT(B2,"yyyy-mm")</x:f>
        <x:v>2023-01</x:v>
      </x:c>
      <x:c r="J2" s="8" t="n">
        <x:f>COUNTIFS($H$2:$H$1201,"&gt;"&amp;H2)+COUNTIFS($H$2:H2,H2)</x:f>
        <x:v>1099</x:v>
      </x:c>
      <x:c r="K2" s="1"/>
      <x:c r="L2" s="1"/>
    </x:row>
    <x:row r="3" ht="22" customHeight="1">
      <x:c r="A3" s="8" t="n">
        <x:v>255</x:v>
      </x:c>
      <x:c r="B3" s="6" t="n">
        <x:v>44927</x:v>
      </x:c>
      <x:c r="C3" s="2" t="str">
        <x:v>Товары для дома</x:v>
      </x:c>
      <x:c r="D3" s="2" t="str">
        <x:v>Полотенце</x:v>
      </x:c>
      <x:c r="E3" s="7" t="n">
        <x:v>56803</x:v>
      </x:c>
      <x:c r="F3" s="9" t="n">
        <x:v>8</x:v>
      </x:c>
      <x:c r="G3" s="2" t="str">
        <x:v>Санкт‑Петербург</x:v>
      </x:c>
      <x:c r="H3" s="7" t="n">
        <x:f>E3*F3</x:f>
        <x:v>454424</x:v>
      </x:c>
      <x:c r="I3" s="2" t="str">
        <x:f>TEXT(B3,"yyyy-mm")</x:f>
        <x:v>2023-01</x:v>
      </x:c>
      <x:c r="J3" s="8" t="n">
        <x:f>COUNTIFS($H$2:$H$1201,"&gt;"&amp;H3)+COUNTIFS($H$2:H3,H3)</x:f>
        <x:v>448</x:v>
      </x:c>
      <x:c r="K3" s="1"/>
      <x:c r="L3" s="1" t="str">
        <x:v>Total = Price × Quantity</x:v>
      </x:c>
    </x:row>
    <x:row r="4" ht="22" customHeight="1">
      <x:c r="A4" s="8" t="n">
        <x:v>517</x:v>
      </x:c>
      <x:c r="B4" s="6" t="n">
        <x:v>44927</x:v>
      </x:c>
      <x:c r="C4" s="2" t="str">
        <x:v>Продукты</x:v>
      </x:c>
      <x:c r="D4" s="2" t="str">
        <x:v>Кофе</x:v>
      </x:c>
      <x:c r="E4" s="7" t="n">
        <x:v>142755.15</x:v>
      </x:c>
      <x:c r="F4" s="9" t="n">
        <x:v>4</x:v>
      </x:c>
      <x:c r="G4" s="2" t="str">
        <x:v>Екатеринбург</x:v>
      </x:c>
      <x:c r="H4" s="7" t="n">
        <x:f>E4*F4</x:f>
        <x:v>571020.6</x:v>
      </x:c>
      <x:c r="I4" s="2" t="str">
        <x:f>TEXT(B4,"yyyy-mm")</x:f>
        <x:v>2023-01</x:v>
      </x:c>
      <x:c r="J4" s="8" t="n">
        <x:f>COUNTIFS($H$2:$H$1201,"&gt;"&amp;H4)+COUNTIFS($H$2:H4,H4)</x:f>
        <x:v>347</x:v>
      </x:c>
      <x:c r="K4" s="1"/>
      <x:c r="L4" s="1" t="str">
        <x:v>Month — месяц продажи</x:v>
      </x:c>
    </x:row>
    <x:row r="5" ht="22" customHeight="1">
      <x:c r="A5" s="8" t="n">
        <x:v>570</x:v>
      </x:c>
      <x:c r="B5" s="6" t="n">
        <x:v>44927</x:v>
      </x:c>
      <x:c r="C5" s="2" t="str">
        <x:v>Электроника</x:v>
      </x:c>
      <x:c r="D5" s="2" t="str">
        <x:v>Ноутбук</x:v>
      </x:c>
      <x:c r="E5" s="7" t="n">
        <x:v>88418.8</x:v>
      </x:c>
      <x:c r="F5" s="9" t="n">
        <x:v>1</x:v>
      </x:c>
      <x:c r="G5" s="2" t="str">
        <x:v>Казань</x:v>
      </x:c>
      <x:c r="H5" s="7" t="n">
        <x:f>E5*F5</x:f>
        <x:v>88418.8</x:v>
      </x:c>
      <x:c r="I5" s="2" t="str">
        <x:f>TEXT(B5,"yyyy-mm")</x:f>
        <x:v>2023-01</x:v>
      </x:c>
      <x:c r="J5" s="8" t="n">
        <x:f>COUNTIFS($H$2:$H$1201,"&gt;"&amp;H5)+COUNTIFS($H$2:H5,H5)</x:f>
        <x:v>998</x:v>
      </x:c>
      <x:c r="K5" s="1"/>
      <x:c r="L5" s="1" t="str">
        <x:v>RevenueRank — место по сумме заказа</x:v>
      </x:c>
    </x:row>
    <x:row r="6" ht="22" customHeight="1">
      <x:c r="A6" s="8" t="n">
        <x:v>1053</x:v>
      </x:c>
      <x:c r="B6" s="6" t="n">
        <x:v>44927</x:v>
      </x:c>
      <x:c r="C6" s="2" t="str">
        <x:v>Товары для дома</x:v>
      </x:c>
      <x:c r="D6" s="2" t="str">
        <x:v>Плед</x:v>
      </x:c>
      <x:c r="E6" s="7" t="n">
        <x:v>140698.03</x:v>
      </x:c>
      <x:c r="F6" s="9" t="n">
        <x:v>6</x:v>
      </x:c>
      <x:c r="G6" s="2" t="str">
        <x:v>Московская область</x:v>
      </x:c>
      <x:c r="H6" s="7" t="n">
        <x:f>E6*F6</x:f>
        <x:v>844188.1799999999</x:v>
      </x:c>
      <x:c r="I6" s="2" t="str">
        <x:f>TEXT(B6,"yyyy-mm")</x:f>
        <x:v>2023-01</x:v>
      </x:c>
      <x:c r="J6" s="8" t="n">
        <x:f>COUNTIFS($H$2:$H$1201,"&gt;"&amp;H6)+COUNTIFS($H$2:H6,H6)</x:f>
        <x:v>170</x:v>
      </x:c>
      <x:c r="K6" s="1"/>
      <x:c r="L6" s="1"/>
    </x:row>
    <x:row r="7" ht="22" customHeight="1">
      <x:c r="A7" s="8" t="n">
        <x:v>76</x:v>
      </x:c>
      <x:c r="B7" s="6" t="n">
        <x:v>44928</x:v>
      </x:c>
      <x:c r="C7" s="2" t="str">
        <x:v>Электроника</x:v>
      </x:c>
      <x:c r="D7" s="2" t="str">
        <x:v>Смартфон</x:v>
      </x:c>
      <x:c r="E7" s="7" t="n">
        <x:v>124739.03</x:v>
      </x:c>
      <x:c r="F7" s="9" t="n">
        <x:v>7</x:v>
      </x:c>
      <x:c r="G7" s="2" t="str">
        <x:v>Санкт‑Петербург</x:v>
      </x:c>
      <x:c r="H7" s="7" t="n">
        <x:f>E7*F7</x:f>
        <x:v>873173.21</x:v>
      </x:c>
      <x:c r="I7" s="2" t="str">
        <x:f>TEXT(B7,"yyyy-mm")</x:f>
        <x:v>2023-01</x:v>
      </x:c>
      <x:c r="J7" s="8" t="n">
        <x:f>COUNTIFS($H$2:$H$1201,"&gt;"&amp;H7)+COUNTIFS($H$2:H7,H7)</x:f>
        <x:v>148</x:v>
      </x:c>
      <x:c r="K7" s="1"/>
      <x:c r="L7" s="1"/>
    </x:row>
    <x:row r="8" ht="22" customHeight="1">
      <x:c r="A8" s="8" t="n">
        <x:v>420</x:v>
      </x:c>
      <x:c r="B8" s="6" t="n">
        <x:v>44928</x:v>
      </x:c>
      <x:c r="C8" s="2" t="str">
        <x:v>Товары для дома</x:v>
      </x:c>
      <x:c r="D8" s="2" t="str">
        <x:v>Кружка</x:v>
      </x:c>
      <x:c r="E8" s="7" t="n">
        <x:v>79112.74</x:v>
      </x:c>
      <x:c r="F8" s="9" t="n">
        <x:v>7</x:v>
      </x:c>
      <x:c r="G8" s="2" t="str">
        <x:v>Казань</x:v>
      </x:c>
      <x:c r="H8" s="7" t="n">
        <x:f>E8*F8</x:f>
        <x:v>553789.18</x:v>
      </x:c>
      <x:c r="I8" s="2" t="str">
        <x:f>TEXT(B8,"yyyy-mm")</x:f>
        <x:v>2023-01</x:v>
      </x:c>
      <x:c r="J8" s="8" t="n">
        <x:f>COUNTIFS($H$2:$H$1201,"&gt;"&amp;H8)+COUNTIFS($H$2:H8,H8)</x:f>
        <x:v>364</x:v>
      </x:c>
      <x:c r="K8" s="1"/>
      <x:c r="L8" s="1"/>
    </x:row>
    <x:row r="9" ht="22" customHeight="1">
      <x:c r="A9" s="8" t="n">
        <x:v>450</x:v>
      </x:c>
      <x:c r="B9" s="6" t="n">
        <x:v>44928</x:v>
      </x:c>
      <x:c r="C9" s="2" t="str">
        <x:v>Электроника</x:v>
      </x:c>
      <x:c r="D9" s="2" t="str">
        <x:v>Смартфон</x:v>
      </x:c>
      <x:c r="E9" s="7" t="n">
        <x:v>95400.21</x:v>
      </x:c>
      <x:c r="F9" s="9" t="n">
        <x:v>5</x:v>
      </x:c>
      <x:c r="G9" s="2" t="str">
        <x:v>Новосибирск</x:v>
      </x:c>
      <x:c r="H9" s="7" t="n">
        <x:f>E9*F9</x:f>
        <x:v>477001.05000000005</x:v>
      </x:c>
      <x:c r="I9" s="2" t="str">
        <x:f>TEXT(B9,"yyyy-mm")</x:f>
        <x:v>2023-01</x:v>
      </x:c>
      <x:c r="J9" s="8" t="n">
        <x:f>COUNTIFS($H$2:$H$1201,"&gt;"&amp;H9)+COUNTIFS($H$2:H9,H9)</x:f>
        <x:v>430</x:v>
      </x:c>
      <x:c r="K9" s="1"/>
      <x:c r="L9" s="1"/>
    </x:row>
    <x:row r="10" ht="22" customHeight="1">
      <x:c r="A10" s="8" t="n">
        <x:v>582</x:v>
      </x:c>
      <x:c r="B10" s="6" t="n">
        <x:v>44928</x:v>
      </x:c>
      <x:c r="C10" s="2" t="str">
        <x:v>Товары для дома</x:v>
      </x:c>
      <x:c r="D10" s="2" t="str">
        <x:v>Подушка</x:v>
      </x:c>
      <x:c r="E10" s="7" t="n">
        <x:v>113578.65</x:v>
      </x:c>
      <x:c r="F10" s="9" t="n">
        <x:v>10</x:v>
      </x:c>
      <x:c r="G10" s="2" t="str">
        <x:v>Екатеринбург</x:v>
      </x:c>
      <x:c r="H10" s="7" t="n">
        <x:f>E10*F10</x:f>
        <x:v>1135786.5</x:v>
      </x:c>
      <x:c r="I10" s="2" t="str">
        <x:f>TEXT(B10,"yyyy-mm")</x:f>
        <x:v>2023-01</x:v>
      </x:c>
      <x:c r="J10" s="8" t="n">
        <x:f>COUNTIFS($H$2:$H$1201,"&gt;"&amp;H10)+COUNTIFS($H$2:H10,H10)</x:f>
        <x:v>52</x:v>
      </x:c>
      <x:c r="K10" s="1"/>
      <x:c r="L10" s="1"/>
    </x:row>
    <x:row r="11" ht="22" customHeight="1">
      <x:c r="A11" s="8" t="n">
        <x:v>633</x:v>
      </x:c>
      <x:c r="B11" s="6" t="n">
        <x:v>44928</x:v>
      </x:c>
      <x:c r="C11" s="2" t="str">
        <x:v>Электроника</x:v>
      </x:c>
      <x:c r="D11" s="2" t="str">
        <x:v>Наушники</x:v>
      </x:c>
      <x:c r="E11" s="7" t="n">
        <x:v>98852.45</x:v>
      </x:c>
      <x:c r="F11" s="9" t="n">
        <x:v>8</x:v>
      </x:c>
      <x:c r="G11" s="2" t="str">
        <x:v>Новосибирск</x:v>
      </x:c>
      <x:c r="H11" s="7" t="n">
        <x:f>E11*F11</x:f>
        <x:v>790819.6</x:v>
      </x:c>
      <x:c r="I11" s="2" t="str">
        <x:f>TEXT(B11,"yyyy-mm")</x:f>
        <x:v>2023-01</x:v>
      </x:c>
      <x:c r="J11" s="8" t="n">
        <x:f>COUNTIFS($H$2:$H$1201,"&gt;"&amp;H11)+COUNTIFS($H$2:H11,H11)</x:f>
        <x:v>203</x:v>
      </x:c>
      <x:c r="K11" s="1"/>
      <x:c r="L11" s="1"/>
    </x:row>
    <x:row r="12" ht="22" customHeight="1">
      <x:c r="A12" s="8" t="n">
        <x:v>828</x:v>
      </x:c>
      <x:c r="B12" s="6" t="n">
        <x:v>44928</x:v>
      </x:c>
      <x:c r="C12" s="2" t="str">
        <x:v>Одежда</x:v>
      </x:c>
      <x:c r="D12" s="2" t="str">
        <x:v>Кроссовки</x:v>
      </x:c>
      <x:c r="E12" s="7" t="n">
        <x:v>48883.93</x:v>
      </x:c>
      <x:c r="F12" s="9" t="n">
        <x:v>4</x:v>
      </x:c>
      <x:c r="G12" s="2" t="str">
        <x:v>Санкт‑Петербург</x:v>
      </x:c>
      <x:c r="H12" s="7" t="n">
        <x:f>E12*F12</x:f>
        <x:v>195535.72</x:v>
      </x:c>
      <x:c r="I12" s="2" t="str">
        <x:f>TEXT(B12,"yyyy-mm")</x:f>
        <x:v>2023-01</x:v>
      </x:c>
      <x:c r="J12" s="8" t="n">
        <x:f>COUNTIFS($H$2:$H$1201,"&gt;"&amp;H12)+COUNTIFS($H$2:H12,H12)</x:f>
        <x:v>795</x:v>
      </x:c>
      <x:c r="K12" s="1"/>
      <x:c r="L12" s="1"/>
    </x:row>
    <x:row r="13" ht="22" customHeight="1">
      <x:c r="A13" s="8" t="n">
        <x:v>313</x:v>
      </x:c>
      <x:c r="B13" s="6" t="n">
        <x:v>44930</x:v>
      </x:c>
      <x:c r="C13" s="2" t="str">
        <x:v>Продукты</x:v>
      </x:c>
      <x:c r="D13" s="2" t="str">
        <x:v>Кофе</x:v>
      </x:c>
      <x:c r="E13" s="7" t="n">
        <x:v>19450.02</x:v>
      </x:c>
      <x:c r="F13" s="9" t="n">
        <x:v>9</x:v>
      </x:c>
      <x:c r="G13" s="2" t="str">
        <x:v>Санкт‑Петербург</x:v>
      </x:c>
      <x:c r="H13" s="7" t="n">
        <x:f>E13*F13</x:f>
        <x:v>175050.18</x:v>
      </x:c>
      <x:c r="I13" s="2" t="str">
        <x:f>TEXT(B13,"yyyy-mm")</x:f>
        <x:v>2023-01</x:v>
      </x:c>
      <x:c r="J13" s="8" t="n">
        <x:f>COUNTIFS($H$2:$H$1201,"&gt;"&amp;H13)+COUNTIFS($H$2:H13,H13)</x:f>
        <x:v>820</x:v>
      </x:c>
      <x:c r="K13" s="1"/>
      <x:c r="L13" s="1"/>
    </x:row>
    <x:row r="14" ht="22" customHeight="1">
      <x:c r="A14" s="8" t="n">
        <x:v>459</x:v>
      </x:c>
      <x:c r="B14" s="6" t="n">
        <x:v>44931</x:v>
      </x:c>
      <x:c r="C14" s="2" t="str">
        <x:v>Одежда</x:v>
      </x:c>
      <x:c r="D14" s="2" t="str">
        <x:v>Джинсы</x:v>
      </x:c>
      <x:c r="E14" s="7" t="n">
        <x:v>6809.92</x:v>
      </x:c>
      <x:c r="F14" s="9" t="n">
        <x:v>4</x:v>
      </x:c>
      <x:c r="G14" s="2" t="str">
        <x:v>Санкт‑Петербург</x:v>
      </x:c>
      <x:c r="H14" s="7" t="n">
        <x:f>E14*F14</x:f>
        <x:v>27239.68</x:v>
      </x:c>
      <x:c r="I14" s="2" t="str">
        <x:f>TEXT(B14,"yyyy-mm")</x:f>
        <x:v>2023-01</x:v>
      </x:c>
      <x:c r="J14" s="8" t="n">
        <x:f>COUNTIFS($H$2:$H$1201,"&gt;"&amp;H14)+COUNTIFS($H$2:H14,H14)</x:f>
        <x:v>1135</x:v>
      </x:c>
      <x:c r="K14" s="1"/>
      <x:c r="L14" s="1"/>
    </x:row>
    <x:row r="15" ht="22" customHeight="1">
      <x:c r="A15" s="8" t="n">
        <x:v>572</x:v>
      </x:c>
      <x:c r="B15" s="6" t="n">
        <x:v>44931</x:v>
      </x:c>
      <x:c r="C15" s="2" t="str">
        <x:v>Электроника</x:v>
      </x:c>
      <x:c r="D15" s="2" t="str">
        <x:v>Планшет</x:v>
      </x:c>
      <x:c r="E15" s="7" t="n">
        <x:v>8569.43</x:v>
      </x:c>
      <x:c r="F15" s="9" t="n">
        <x:v>6</x:v>
      </x:c>
      <x:c r="G15" s="2" t="str">
        <x:v>Санкт‑Петербург</x:v>
      </x:c>
      <x:c r="H15" s="7" t="n">
        <x:f>E15*F15</x:f>
        <x:v>51416.58</x:v>
      </x:c>
      <x:c r="I15" s="2" t="str">
        <x:f>TEXT(B15,"yyyy-mm")</x:f>
        <x:v>2023-01</x:v>
      </x:c>
      <x:c r="J15" s="8" t="n">
        <x:f>COUNTIFS($H$2:$H$1201,"&gt;"&amp;H15)+COUNTIFS($H$2:H15,H15)</x:f>
        <x:v>1081</x:v>
      </x:c>
      <x:c r="K15" s="1"/>
      <x:c r="L15" s="1"/>
    </x:row>
    <x:row r="16" ht="22" customHeight="1">
      <x:c r="A16" s="8" t="n">
        <x:v>1133</x:v>
      </x:c>
      <x:c r="B16" s="6" t="n">
        <x:v>44931</x:v>
      </x:c>
      <x:c r="C16" s="2" t="str">
        <x:v>Одежда</x:v>
      </x:c>
      <x:c r="D16" s="2" t="str">
        <x:v>Джинсы</x:v>
      </x:c>
      <x:c r="E16" s="7" t="n">
        <x:v>6417.05</x:v>
      </x:c>
      <x:c r="F16" s="9" t="n">
        <x:v>9</x:v>
      </x:c>
      <x:c r="G16" s="2" t="str">
        <x:v>Санкт‑Петербург</x:v>
      </x:c>
      <x:c r="H16" s="7" t="n">
        <x:f>E16*F16</x:f>
        <x:v>57753.450000000004</x:v>
      </x:c>
      <x:c r="I16" s="2" t="str">
        <x:f>TEXT(B16,"yyyy-mm")</x:f>
        <x:v>2023-01</x:v>
      </x:c>
      <x:c r="J16" s="8" t="n">
        <x:f>COUNTIFS($H$2:$H$1201,"&gt;"&amp;H16)+COUNTIFS($H$2:H16,H16)</x:f>
        <x:v>1065</x:v>
      </x:c>
      <x:c r="K16" s="1"/>
      <x:c r="L16" s="1"/>
    </x:row>
    <x:row r="17" ht="22" customHeight="1">
      <x:c r="A17" s="8" t="n">
        <x:v>60</x:v>
      </x:c>
      <x:c r="B17" s="6" t="n">
        <x:v>44932</x:v>
      </x:c>
      <x:c r="C17" s="2" t="str">
        <x:v>Товары для дома</x:v>
      </x:c>
      <x:c r="D17" s="2" t="str">
        <x:v>Кружка</x:v>
      </x:c>
      <x:c r="E17" s="7" t="n">
        <x:v>45015.51</x:v>
      </x:c>
      <x:c r="F17" s="9" t="n">
        <x:v>7</x:v>
      </x:c>
      <x:c r="G17" s="2" t="str">
        <x:v>Московская область</x:v>
      </x:c>
      <x:c r="H17" s="7" t="n">
        <x:f>E17*F17</x:f>
        <x:v>315108.57</x:v>
      </x:c>
      <x:c r="I17" s="2" t="str">
        <x:f>TEXT(B17,"yyyy-mm")</x:f>
        <x:v>2023-01</x:v>
      </x:c>
      <x:c r="J17" s="8" t="n">
        <x:f>COUNTIFS($H$2:$H$1201,"&gt;"&amp;H17)+COUNTIFS($H$2:H17,H17)</x:f>
        <x:v>621</x:v>
      </x:c>
      <x:c r="K17" s="1"/>
      <x:c r="L17" s="1"/>
    </x:row>
    <x:row r="18" ht="22" customHeight="1">
      <x:c r="A18" s="8" t="n">
        <x:v>67</x:v>
      </x:c>
      <x:c r="B18" s="6" t="n">
        <x:v>44932</x:v>
      </x:c>
      <x:c r="C18" s="2" t="str">
        <x:v>Одежда</x:v>
      </x:c>
      <x:c r="D18" s="2" t="str">
        <x:v>Куртка</x:v>
      </x:c>
      <x:c r="E18" s="7" t="n">
        <x:v>130469.79</x:v>
      </x:c>
      <x:c r="F18" s="9" t="n">
        <x:v>4</x:v>
      </x:c>
      <x:c r="G18" s="2" t="str">
        <x:v>Екатеринбург</x:v>
      </x:c>
      <x:c r="H18" s="7" t="n">
        <x:f>E18*F18</x:f>
        <x:v>521879.16</x:v>
      </x:c>
      <x:c r="I18" s="2" t="str">
        <x:f>TEXT(B18,"yyyy-mm")</x:f>
        <x:v>2023-01</x:v>
      </x:c>
      <x:c r="J18" s="8" t="n">
        <x:f>COUNTIFS($H$2:$H$1201,"&gt;"&amp;H18)+COUNTIFS($H$2:H18,H18)</x:f>
        <x:v>392</x:v>
      </x:c>
      <x:c r="K18" s="1"/>
      <x:c r="L18" s="1"/>
    </x:row>
    <x:row r="19" ht="22" customHeight="1">
      <x:c r="A19" s="8" t="n">
        <x:v>172</x:v>
      </x:c>
      <x:c r="B19" s="6" t="n">
        <x:v>44932</x:v>
      </x:c>
      <x:c r="C19" s="2" t="str">
        <x:v>Товары для дома</x:v>
      </x:c>
      <x:c r="D19" s="2" t="str">
        <x:v>Подушка</x:v>
      </x:c>
      <x:c r="E19" s="7" t="n">
        <x:v>123879.73</x:v>
      </x:c>
      <x:c r="F19" s="9" t="n">
        <x:v>1</x:v>
      </x:c>
      <x:c r="G19" s="2" t="str">
        <x:v>Санкт‑Петербург</x:v>
      </x:c>
      <x:c r="H19" s="7" t="n">
        <x:f>E19*F19</x:f>
        <x:v>123879.73</x:v>
      </x:c>
      <x:c r="I19" s="2" t="str">
        <x:f>TEXT(B19,"yyyy-mm")</x:f>
        <x:v>2023-01</x:v>
      </x:c>
      <x:c r="J19" s="8" t="n">
        <x:f>COUNTIFS($H$2:$H$1201,"&gt;"&amp;H19)+COUNTIFS($H$2:H19,H19)</x:f>
        <x:v>917</x:v>
      </x:c>
      <x:c r="K19" s="1"/>
      <x:c r="L19" s="1"/>
    </x:row>
    <x:row r="20" ht="22" customHeight="1">
      <x:c r="A20" s="8" t="n">
        <x:v>349</x:v>
      </x:c>
      <x:c r="B20" s="6" t="n">
        <x:v>44932</x:v>
      </x:c>
      <x:c r="C20" s="2" t="str">
        <x:v>Товары для дома</x:v>
      </x:c>
      <x:c r="D20" s="2" t="str">
        <x:v>Плед</x:v>
      </x:c>
      <x:c r="E20" s="7" t="n">
        <x:v>51744.77</x:v>
      </x:c>
      <x:c r="F20" s="9" t="n">
        <x:v>4</x:v>
      </x:c>
      <x:c r="G20" s="2" t="str">
        <x:v>Екатеринбург</x:v>
      </x:c>
      <x:c r="H20" s="7" t="n">
        <x:f>E20*F20</x:f>
        <x:v>206979.08</x:v>
      </x:c>
      <x:c r="I20" s="2" t="str">
        <x:f>TEXT(B20,"yyyy-mm")</x:f>
        <x:v>2023-01</x:v>
      </x:c>
      <x:c r="J20" s="8" t="n">
        <x:f>COUNTIFS($H$2:$H$1201,"&gt;"&amp;H20)+COUNTIFS($H$2:H20,H20)</x:f>
        <x:v>780</x:v>
      </x:c>
      <x:c r="K20" s="1"/>
      <x:c r="L20" s="1"/>
    </x:row>
    <x:row r="21" ht="22" customHeight="1">
      <x:c r="A21" s="8" t="n">
        <x:v>692</x:v>
      </x:c>
      <x:c r="B21" s="6" t="n">
        <x:v>44932</x:v>
      </x:c>
      <x:c r="C21" s="2" t="str">
        <x:v>Одежда</x:v>
      </x:c>
      <x:c r="D21" s="2" t="str">
        <x:v>Куртка</x:v>
      </x:c>
      <x:c r="E21" s="7" t="n">
        <x:v>82566.78</x:v>
      </x:c>
      <x:c r="F21" s="9" t="n">
        <x:v>4</x:v>
      </x:c>
      <x:c r="G21" s="2" t="str">
        <x:v>Новосибирск</x:v>
      </x:c>
      <x:c r="H21" s="7" t="n">
        <x:f>E21*F21</x:f>
        <x:v>330267.12</x:v>
      </x:c>
      <x:c r="I21" s="2" t="str">
        <x:f>TEXT(B21,"yyyy-mm")</x:f>
        <x:v>2023-01</x:v>
      </x:c>
      <x:c r="J21" s="8" t="n">
        <x:f>COUNTIFS($H$2:$H$1201,"&gt;"&amp;H21)+COUNTIFS($H$2:H21,H21)</x:f>
        <x:v>601</x:v>
      </x:c>
      <x:c r="K21" s="1"/>
      <x:c r="L21" s="1"/>
    </x:row>
    <x:row r="22" ht="22" customHeight="1">
      <x:c r="A22" s="8" t="n">
        <x:v>107</x:v>
      </x:c>
      <x:c r="B22" s="6" t="n">
        <x:v>44933</x:v>
      </x:c>
      <x:c r="C22" s="2" t="str">
        <x:v>Товары для дома</x:v>
      </x:c>
      <x:c r="D22" s="2" t="str">
        <x:v>Кружка</x:v>
      </x:c>
      <x:c r="E22" s="7" t="n">
        <x:v>20436.27</x:v>
      </x:c>
      <x:c r="F22" s="9" t="n">
        <x:v>5</x:v>
      </x:c>
      <x:c r="G22" s="2" t="str">
        <x:v>Казань</x:v>
      </x:c>
      <x:c r="H22" s="7" t="n">
        <x:f>E22*F22</x:f>
        <x:v>102181.35</x:v>
      </x:c>
      <x:c r="I22" s="2" t="str">
        <x:f>TEXT(B22,"yyyy-mm")</x:f>
        <x:v>2023-01</x:v>
      </x:c>
      <x:c r="J22" s="8" t="n">
        <x:f>COUNTIFS($H$2:$H$1201,"&gt;"&amp;H22)+COUNTIFS($H$2:H22,H22)</x:f>
        <x:v>968</x:v>
      </x:c>
      <x:c r="K22" s="1"/>
      <x:c r="L22" s="1"/>
    </x:row>
    <x:row r="23" ht="22" customHeight="1">
      <x:c r="A23" s="8" t="n">
        <x:v>1051</x:v>
      </x:c>
      <x:c r="B23" s="6" t="n">
        <x:v>44933</x:v>
      </x:c>
      <x:c r="C23" s="2" t="str">
        <x:v>Продукты</x:v>
      </x:c>
      <x:c r="D23" s="2" t="str">
        <x:v>Хлеб</x:v>
      </x:c>
      <x:c r="E23" s="7" t="n">
        <x:v>28652.76</x:v>
      </x:c>
      <x:c r="F23" s="9" t="n">
        <x:v>3</x:v>
      </x:c>
      <x:c r="G23" s="2" t="str">
        <x:v>Новосибирск</x:v>
      </x:c>
      <x:c r="H23" s="7" t="n">
        <x:f>E23*F23</x:f>
        <x:v>85958.28</x:v>
      </x:c>
      <x:c r="I23" s="2" t="str">
        <x:f>TEXT(B23,"yyyy-mm")</x:f>
        <x:v>2023-01</x:v>
      </x:c>
      <x:c r="J23" s="8" t="n">
        <x:f>COUNTIFS($H$2:$H$1201,"&gt;"&amp;H23)+COUNTIFS($H$2:H23,H23)</x:f>
        <x:v>1002</x:v>
      </x:c>
      <x:c r="K23" s="1"/>
      <x:c r="L23" s="1"/>
    </x:row>
    <x:row r="24" ht="22" customHeight="1">
      <x:c r="A24" s="8" t="n">
        <x:v>406</x:v>
      </x:c>
      <x:c r="B24" s="6" t="n">
        <x:v>44934</x:v>
      </x:c>
      <x:c r="C24" s="2" t="str">
        <x:v>Товары для дома</x:v>
      </x:c>
      <x:c r="D24" s="2" t="str">
        <x:v>Полотенце</x:v>
      </x:c>
      <x:c r="E24" s="7" t="n">
        <x:v>15076.98</x:v>
      </x:c>
      <x:c r="F24" s="9" t="n">
        <x:v>7</x:v>
      </x:c>
      <x:c r="G24" s="2" t="str">
        <x:v>Новосибирск</x:v>
      </x:c>
      <x:c r="H24" s="7" t="n">
        <x:f>E24*F24</x:f>
        <x:v>105538.86</x:v>
      </x:c>
      <x:c r="I24" s="2" t="str">
        <x:f>TEXT(B24,"yyyy-mm")</x:f>
        <x:v>2023-01</x:v>
      </x:c>
      <x:c r="J24" s="8" t="n">
        <x:f>COUNTIFS($H$2:$H$1201,"&gt;"&amp;H24)+COUNTIFS($H$2:H24,H24)</x:f>
        <x:v>959</x:v>
      </x:c>
      <x:c r="K24" s="1"/>
      <x:c r="L24" s="1"/>
    </x:row>
    <x:row r="25" ht="22" customHeight="1">
      <x:c r="A25" s="8" t="n">
        <x:v>764</x:v>
      </x:c>
      <x:c r="B25" s="6" t="n">
        <x:v>44934</x:v>
      </x:c>
      <x:c r="C25" s="2" t="str">
        <x:v>Одежда</x:v>
      </x:c>
      <x:c r="D25" s="2" t="str">
        <x:v>Джинсы</x:v>
      </x:c>
      <x:c r="E25" s="7" t="n">
        <x:v>119291.86</x:v>
      </x:c>
      <x:c r="F25" s="9" t="n">
        <x:v>9</x:v>
      </x:c>
      <x:c r="G25" s="2" t="str">
        <x:v>Новосибирск</x:v>
      </x:c>
      <x:c r="H25" s="7" t="n">
        <x:f>E25*F25</x:f>
        <x:v>1073626.74</x:v>
      </x:c>
      <x:c r="I25" s="2" t="str">
        <x:f>TEXT(B25,"yyyy-mm")</x:f>
        <x:v>2023-01</x:v>
      </x:c>
      <x:c r="J25" s="8" t="n">
        <x:f>COUNTIFS($H$2:$H$1201,"&gt;"&amp;H25)+COUNTIFS($H$2:H25,H25)</x:f>
        <x:v>69</x:v>
      </x:c>
      <x:c r="K25" s="1"/>
      <x:c r="L25" s="1"/>
    </x:row>
    <x:row r="26" ht="22" customHeight="1">
      <x:c r="A26" s="8" t="n">
        <x:v>791</x:v>
      </x:c>
      <x:c r="B26" s="6" t="n">
        <x:v>44934</x:v>
      </x:c>
      <x:c r="C26" s="2" t="str">
        <x:v>Электроника</x:v>
      </x:c>
      <x:c r="D26" s="2" t="str">
        <x:v>Смартфон</x:v>
      </x:c>
      <x:c r="E26" s="7" t="n">
        <x:v>61260.19</x:v>
      </x:c>
      <x:c r="F26" s="9" t="n">
        <x:v>8</x:v>
      </x:c>
      <x:c r="G26" s="2" t="str">
        <x:v>Казань</x:v>
      </x:c>
      <x:c r="H26" s="7" t="n">
        <x:f>E26*F26</x:f>
        <x:v>490081.52</x:v>
      </x:c>
      <x:c r="I26" s="2" t="str">
        <x:f>TEXT(B26,"yyyy-mm")</x:f>
        <x:v>2023-01</x:v>
      </x:c>
      <x:c r="J26" s="8" t="n">
        <x:f>COUNTIFS($H$2:$H$1201,"&gt;"&amp;H26)+COUNTIFS($H$2:H26,H26)</x:f>
        <x:v>421</x:v>
      </x:c>
      <x:c r="K26" s="1"/>
      <x:c r="L26" s="1"/>
    </x:row>
    <x:row r="27" ht="22" customHeight="1">
      <x:c r="A27" s="8" t="n">
        <x:v>972</x:v>
      </x:c>
      <x:c r="B27" s="6" t="n">
        <x:v>44934</x:v>
      </x:c>
      <x:c r="C27" s="2" t="str">
        <x:v>Электроника</x:v>
      </x:c>
      <x:c r="D27" s="2" t="str">
        <x:v>Планшет</x:v>
      </x:c>
      <x:c r="E27" s="7" t="n">
        <x:v>126354.73</x:v>
      </x:c>
      <x:c r="F27" s="9" t="n">
        <x:v>1</x:v>
      </x:c>
      <x:c r="G27" s="2" t="str">
        <x:v>Новосибирск</x:v>
      </x:c>
      <x:c r="H27" s="7" t="n">
        <x:f>E27*F27</x:f>
        <x:v>126354.73</x:v>
      </x:c>
      <x:c r="I27" s="2" t="str">
        <x:f>TEXT(B27,"yyyy-mm")</x:f>
        <x:v>2023-01</x:v>
      </x:c>
      <x:c r="J27" s="8" t="n">
        <x:f>COUNTIFS($H$2:$H$1201,"&gt;"&amp;H27)+COUNTIFS($H$2:H27,H27)</x:f>
        <x:v>911</x:v>
      </x:c>
      <x:c r="K27" s="1"/>
      <x:c r="L27" s="1"/>
    </x:row>
    <x:row r="28" ht="22" customHeight="1">
      <x:c r="A28" s="8" t="n">
        <x:v>205</x:v>
      </x:c>
      <x:c r="B28" s="6" t="n">
        <x:v>44935</x:v>
      </x:c>
      <x:c r="C28" s="2" t="str">
        <x:v>Товары для дома</x:v>
      </x:c>
      <x:c r="D28" s="2" t="str">
        <x:v>Подушка</x:v>
      </x:c>
      <x:c r="E28" s="7" t="n">
        <x:v>103565.48</x:v>
      </x:c>
      <x:c r="F28" s="9" t="n">
        <x:v>8</x:v>
      </x:c>
      <x:c r="G28" s="2" t="str">
        <x:v>Санкт‑Петербург</x:v>
      </x:c>
      <x:c r="H28" s="7" t="n">
        <x:f>E28*F28</x:f>
        <x:v>828523.84</x:v>
      </x:c>
      <x:c r="I28" s="2" t="str">
        <x:f>TEXT(B28,"yyyy-mm")</x:f>
        <x:v>2023-01</x:v>
      </x:c>
      <x:c r="J28" s="8" t="n">
        <x:f>COUNTIFS($H$2:$H$1201,"&gt;"&amp;H28)+COUNTIFS($H$2:H28,H28)</x:f>
        <x:v>178</x:v>
      </x:c>
      <x:c r="K28" s="1"/>
      <x:c r="L28" s="1"/>
    </x:row>
    <x:row r="29" ht="22" customHeight="1">
      <x:c r="A29" s="8" t="n">
        <x:v>504</x:v>
      </x:c>
      <x:c r="B29" s="6" t="n">
        <x:v>44935</x:v>
      </x:c>
      <x:c r="C29" s="2" t="str">
        <x:v>Одежда</x:v>
      </x:c>
      <x:c r="D29" s="2" t="str">
        <x:v>Кроссовки</x:v>
      </x:c>
      <x:c r="E29" s="7" t="n">
        <x:v>4181.63</x:v>
      </x:c>
      <x:c r="F29" s="9" t="n">
        <x:v>5</x:v>
      </x:c>
      <x:c r="G29" s="2" t="str">
        <x:v>Екатеринбург</x:v>
      </x:c>
      <x:c r="H29" s="7" t="n">
        <x:f>E29*F29</x:f>
        <x:v>20908.15</x:v>
      </x:c>
      <x:c r="I29" s="2" t="str">
        <x:f>TEXT(B29,"yyyy-mm")</x:f>
        <x:v>2023-01</x:v>
      </x:c>
      <x:c r="J29" s="8" t="n">
        <x:f>COUNTIFS($H$2:$H$1201,"&gt;"&amp;H29)+COUNTIFS($H$2:H29,H29)</x:f>
        <x:v>1152</x:v>
      </x:c>
      <x:c r="K29" s="1"/>
      <x:c r="L29" s="1"/>
    </x:row>
    <x:row r="30" ht="22" customHeight="1">
      <x:c r="A30" s="8" t="n">
        <x:v>888</x:v>
      </x:c>
      <x:c r="B30" s="6" t="n">
        <x:v>44935</x:v>
      </x:c>
      <x:c r="C30" s="2" t="str">
        <x:v>Электроника</x:v>
      </x:c>
      <x:c r="D30" s="2" t="str">
        <x:v>Смартфон</x:v>
      </x:c>
      <x:c r="E30" s="7" t="n">
        <x:v>54363.32</x:v>
      </x:c>
      <x:c r="F30" s="9" t="n">
        <x:v>6</x:v>
      </x:c>
      <x:c r="G30" s="2" t="str">
        <x:v>Москва</x:v>
      </x:c>
      <x:c r="H30" s="7" t="n">
        <x:f>E30*F30</x:f>
        <x:v>326179.92</x:v>
      </x:c>
      <x:c r="I30" s="2" t="str">
        <x:f>TEXT(B30,"yyyy-mm")</x:f>
        <x:v>2023-01</x:v>
      </x:c>
      <x:c r="J30" s="8" t="n">
        <x:f>COUNTIFS($H$2:$H$1201,"&gt;"&amp;H30)+COUNTIFS($H$2:H30,H30)</x:f>
        <x:v>608</x:v>
      </x:c>
      <x:c r="K30" s="1"/>
      <x:c r="L30" s="1"/>
    </x:row>
    <x:row r="31" ht="22" customHeight="1">
      <x:c r="A31" s="8" t="n">
        <x:v>30</x:v>
      </x:c>
      <x:c r="B31" s="6" t="n">
        <x:v>44936</x:v>
      </x:c>
      <x:c r="C31" s="2" t="str">
        <x:v>Одежда</x:v>
      </x:c>
      <x:c r="D31" s="2" t="str">
        <x:v>Куртка</x:v>
      </x:c>
      <x:c r="E31" s="7" t="n">
        <x:v>28295.18</x:v>
      </x:c>
      <x:c r="F31" s="9" t="n">
        <x:v>3</x:v>
      </x:c>
      <x:c r="G31" s="2" t="str">
        <x:v>Московская область</x:v>
      </x:c>
      <x:c r="H31" s="7" t="n">
        <x:f>E31*F31</x:f>
        <x:v>84885.54000000001</x:v>
      </x:c>
      <x:c r="I31" s="2" t="str">
        <x:f>TEXT(B31,"yyyy-mm")</x:f>
        <x:v>2023-01</x:v>
      </x:c>
      <x:c r="J31" s="8" t="n">
        <x:f>COUNTIFS($H$2:$H$1201,"&gt;"&amp;H31)+COUNTIFS($H$2:H31,H31)</x:f>
        <x:v>1004</x:v>
      </x:c>
      <x:c r="K31" s="1"/>
      <x:c r="L31" s="1"/>
    </x:row>
    <x:row r="32" ht="22" customHeight="1">
      <x:c r="A32" s="8" t="n">
        <x:v>408</x:v>
      </x:c>
      <x:c r="B32" s="6" t="n">
        <x:v>44936</x:v>
      </x:c>
      <x:c r="C32" s="2" t="str">
        <x:v>Одежда</x:v>
      </x:c>
      <x:c r="D32" s="2" t="str">
        <x:v>Футболка</x:v>
      </x:c>
      <x:c r="E32" s="7" t="n">
        <x:v>54260.83</x:v>
      </x:c>
      <x:c r="F32" s="9" t="n">
        <x:v>5</x:v>
      </x:c>
      <x:c r="G32" s="2" t="str">
        <x:v>Екатеринбург</x:v>
      </x:c>
      <x:c r="H32" s="7" t="n">
        <x:f>E32*F32</x:f>
        <x:v>271304.15</x:v>
      </x:c>
      <x:c r="I32" s="2" t="str">
        <x:f>TEXT(B32,"yyyy-mm")</x:f>
        <x:v>2023-01</x:v>
      </x:c>
      <x:c r="J32" s="8" t="n">
        <x:f>COUNTIFS($H$2:$H$1201,"&gt;"&amp;H32)+COUNTIFS($H$2:H32,H32)</x:f>
        <x:v>668</x:v>
      </x:c>
      <x:c r="K32" s="1"/>
      <x:c r="L32" s="1"/>
    </x:row>
    <x:row r="33" ht="22" customHeight="1">
      <x:c r="A33" s="8" t="n">
        <x:v>512</x:v>
      </x:c>
      <x:c r="B33" s="6" t="n">
        <x:v>44936</x:v>
      </x:c>
      <x:c r="C33" s="2" t="str">
        <x:v>Продукты</x:v>
      </x:c>
      <x:c r="D33" s="2" t="str">
        <x:v>Молоко</x:v>
      </x:c>
      <x:c r="E33" s="7" t="n">
        <x:v>54773.8</x:v>
      </x:c>
      <x:c r="F33" s="9" t="n">
        <x:v>10</x:v>
      </x:c>
      <x:c r="G33" s="2" t="str">
        <x:v>Московская область</x:v>
      </x:c>
      <x:c r="H33" s="7" t="n">
        <x:f>E33*F33</x:f>
        <x:v>547738</x:v>
      </x:c>
      <x:c r="I33" s="2" t="str">
        <x:f>TEXT(B33,"yyyy-mm")</x:f>
        <x:v>2023-01</x:v>
      </x:c>
      <x:c r="J33" s="8" t="n">
        <x:f>COUNTIFS($H$2:$H$1201,"&gt;"&amp;H33)+COUNTIFS($H$2:H33,H33)</x:f>
        <x:v>370</x:v>
      </x:c>
      <x:c r="K33" s="1"/>
      <x:c r="L33" s="1"/>
    </x:row>
    <x:row r="34" ht="22" customHeight="1">
      <x:c r="A34" s="8" t="n">
        <x:v>1099</x:v>
      </x:c>
      <x:c r="B34" s="6" t="n">
        <x:v>44936</x:v>
      </x:c>
      <x:c r="C34" s="2" t="str">
        <x:v>Электроника</x:v>
      </x:c>
      <x:c r="D34" s="2" t="str">
        <x:v>Планшет</x:v>
      </x:c>
      <x:c r="E34" s="7" t="n">
        <x:v>40947.81</x:v>
      </x:c>
      <x:c r="F34" s="9" t="n">
        <x:v>1</x:v>
      </x:c>
      <x:c r="G34" s="2" t="str">
        <x:v>Московская область</x:v>
      </x:c>
      <x:c r="H34" s="7" t="n">
        <x:f>E34*F34</x:f>
        <x:v>40947.81</x:v>
      </x:c>
      <x:c r="I34" s="2" t="str">
        <x:f>TEXT(B34,"yyyy-mm")</x:f>
        <x:v>2023-01</x:v>
      </x:c>
      <x:c r="J34" s="8" t="n">
        <x:f>COUNTIFS($H$2:$H$1201,"&gt;"&amp;H34)+COUNTIFS($H$2:H34,H34)</x:f>
        <x:v>1104</x:v>
      </x:c>
      <x:c r="K34" s="1"/>
      <x:c r="L34" s="1"/>
    </x:row>
    <x:row r="35" ht="22" customHeight="1">
      <x:c r="A35" s="8" t="n">
        <x:v>263</x:v>
      </x:c>
      <x:c r="B35" s="6" t="n">
        <x:v>44937</x:v>
      </x:c>
      <x:c r="C35" s="2" t="str">
        <x:v>Продукты</x:v>
      </x:c>
      <x:c r="D35" s="2" t="str">
        <x:v>Молоко</x:v>
      </x:c>
      <x:c r="E35" s="7" t="n">
        <x:v>140674.03</x:v>
      </x:c>
      <x:c r="F35" s="9" t="n">
        <x:v>2</x:v>
      </x:c>
      <x:c r="G35" s="2" t="str">
        <x:v>Казань</x:v>
      </x:c>
      <x:c r="H35" s="7" t="n">
        <x:f>E35*F35</x:f>
        <x:v>281348.06</x:v>
      </x:c>
      <x:c r="I35" s="2" t="str">
        <x:f>TEXT(B35,"yyyy-mm")</x:f>
        <x:v>2023-01</x:v>
      </x:c>
      <x:c r="J35" s="8" t="n">
        <x:f>COUNTIFS($H$2:$H$1201,"&gt;"&amp;H35)+COUNTIFS($H$2:H35,H35)</x:f>
        <x:v>654</x:v>
      </x:c>
      <x:c r="K35" s="1"/>
      <x:c r="L35" s="1"/>
    </x:row>
    <x:row r="36" ht="22" customHeight="1">
      <x:c r="A36" s="8" t="n">
        <x:v>357</x:v>
      </x:c>
      <x:c r="B36" s="6" t="n">
        <x:v>44937</x:v>
      </x:c>
      <x:c r="C36" s="2" t="str">
        <x:v>Продукты</x:v>
      </x:c>
      <x:c r="D36" s="2" t="str">
        <x:v>Хлеб</x:v>
      </x:c>
      <x:c r="E36" s="7" t="n">
        <x:v>10093.96</x:v>
      </x:c>
      <x:c r="F36" s="9" t="n">
        <x:v>6</x:v>
      </x:c>
      <x:c r="G36" s="2" t="str">
        <x:v>Казань</x:v>
      </x:c>
      <x:c r="H36" s="7" t="n">
        <x:f>E36*F36</x:f>
        <x:v>60563.759999999995</x:v>
      </x:c>
      <x:c r="I36" s="2" t="str">
        <x:f>TEXT(B36,"yyyy-mm")</x:f>
        <x:v>2023-01</x:v>
      </x:c>
      <x:c r="J36" s="8" t="n">
        <x:f>COUNTIFS($H$2:$H$1201,"&gt;"&amp;H36)+COUNTIFS($H$2:H36,H36)</x:f>
        <x:v>1058</x:v>
      </x:c>
      <x:c r="K36" s="1"/>
      <x:c r="L36" s="1"/>
    </x:row>
    <x:row r="37" ht="22" customHeight="1">
      <x:c r="A37" s="8" t="n">
        <x:v>366</x:v>
      </x:c>
      <x:c r="B37" s="6" t="n">
        <x:v>44937</x:v>
      </x:c>
      <x:c r="C37" s="2" t="str">
        <x:v>Товары для дома</x:v>
      </x:c>
      <x:c r="D37" s="2" t="str">
        <x:v>Плед</x:v>
      </x:c>
      <x:c r="E37" s="7" t="n">
        <x:v>8697.43</x:v>
      </x:c>
      <x:c r="F37" s="9" t="n">
        <x:v>10</x:v>
      </x:c>
      <x:c r="G37" s="2" t="str">
        <x:v>Казань</x:v>
      </x:c>
      <x:c r="H37" s="7" t="n">
        <x:f>E37*F37</x:f>
        <x:v>86974.3</x:v>
      </x:c>
      <x:c r="I37" s="2" t="str">
        <x:f>TEXT(B37,"yyyy-mm")</x:f>
        <x:v>2023-01</x:v>
      </x:c>
      <x:c r="J37" s="8" t="n">
        <x:f>COUNTIFS($H$2:$H$1201,"&gt;"&amp;H37)+COUNTIFS($H$2:H37,H37)</x:f>
        <x:v>1001</x:v>
      </x:c>
      <x:c r="K37" s="1"/>
      <x:c r="L37" s="1"/>
    </x:row>
    <x:row r="38" ht="22" customHeight="1">
      <x:c r="A38" s="8" t="n">
        <x:v>546</x:v>
      </x:c>
      <x:c r="B38" s="6" t="n">
        <x:v>44937</x:v>
      </x:c>
      <x:c r="C38" s="2" t="str">
        <x:v>Товары для дома</x:v>
      </x:c>
      <x:c r="D38" s="2" t="str">
        <x:v>Подушка</x:v>
      </x:c>
      <x:c r="E38" s="7" t="n">
        <x:v>141396.76</x:v>
      </x:c>
      <x:c r="F38" s="9" t="n">
        <x:v>6</x:v>
      </x:c>
      <x:c r="G38" s="2" t="str">
        <x:v>Новосибирск</x:v>
      </x:c>
      <x:c r="H38" s="7" t="n">
        <x:f>E38*F38</x:f>
        <x:v>848380.56</x:v>
      </x:c>
      <x:c r="I38" s="2" t="str">
        <x:f>TEXT(B38,"yyyy-mm")</x:f>
        <x:v>2023-01</x:v>
      </x:c>
      <x:c r="J38" s="8" t="n">
        <x:f>COUNTIFS($H$2:$H$1201,"&gt;"&amp;H38)+COUNTIFS($H$2:H38,H38)</x:f>
        <x:v>167</x:v>
      </x:c>
      <x:c r="K38" s="1"/>
      <x:c r="L38" s="1"/>
    </x:row>
    <x:row r="39" ht="22" customHeight="1">
      <x:c r="A39" s="8" t="n">
        <x:v>732</x:v>
      </x:c>
      <x:c r="B39" s="6" t="n">
        <x:v>44937</x:v>
      </x:c>
      <x:c r="C39" s="2" t="str">
        <x:v>Товары для дома</x:v>
      </x:c>
      <x:c r="D39" s="2" t="str">
        <x:v>Полотенце</x:v>
      </x:c>
      <x:c r="E39" s="7" t="n">
        <x:v>40016.15</x:v>
      </x:c>
      <x:c r="F39" s="9" t="n">
        <x:v>3</x:v>
      </x:c>
      <x:c r="G39" s="2" t="str">
        <x:v>Екатеринбург</x:v>
      </x:c>
      <x:c r="H39" s="7" t="n">
        <x:f>E39*F39</x:f>
        <x:v>120048.45000000001</x:v>
      </x:c>
      <x:c r="I39" s="2" t="str">
        <x:f>TEXT(B39,"yyyy-mm")</x:f>
        <x:v>2023-01</x:v>
      </x:c>
      <x:c r="J39" s="8" t="n">
        <x:f>COUNTIFS($H$2:$H$1201,"&gt;"&amp;H39)+COUNTIFS($H$2:H39,H39)</x:f>
        <x:v>926</x:v>
      </x:c>
      <x:c r="K39" s="1"/>
      <x:c r="L39" s="1"/>
    </x:row>
    <x:row r="40" ht="22" customHeight="1">
      <x:c r="A40" s="8" t="n">
        <x:v>951</x:v>
      </x:c>
      <x:c r="B40" s="6" t="n">
        <x:v>44937</x:v>
      </x:c>
      <x:c r="C40" s="2" t="str">
        <x:v>Товары для дома</x:v>
      </x:c>
      <x:c r="D40" s="2" t="str">
        <x:v>Полотенце</x:v>
      </x:c>
      <x:c r="E40" s="7" t="n">
        <x:v>134694.41</x:v>
      </x:c>
      <x:c r="F40" s="9" t="n">
        <x:v>9</x:v>
      </x:c>
      <x:c r="G40" s="2" t="str">
        <x:v>Новосибирск</x:v>
      </x:c>
      <x:c r="H40" s="7" t="n">
        <x:f>E40*F40</x:f>
        <x:v>1212249.69</x:v>
      </x:c>
      <x:c r="I40" s="2" t="str">
        <x:f>TEXT(B40,"yyyy-mm")</x:f>
        <x:v>2023-01</x:v>
      </x:c>
      <x:c r="J40" s="8" t="n">
        <x:f>COUNTIFS($H$2:$H$1201,"&gt;"&amp;H40)+COUNTIFS($H$2:H40,H40)</x:f>
        <x:v>28</x:v>
      </x:c>
      <x:c r="K40" s="1"/>
      <x:c r="L40" s="1"/>
    </x:row>
    <x:row r="41" ht="22" customHeight="1">
      <x:c r="A41" s="8" t="n">
        <x:v>1152</x:v>
      </x:c>
      <x:c r="B41" s="6" t="n">
        <x:v>44937</x:v>
      </x:c>
      <x:c r="C41" s="2" t="str">
        <x:v>Продукты</x:v>
      </x:c>
      <x:c r="D41" s="2" t="str">
        <x:v>Молоко</x:v>
      </x:c>
      <x:c r="E41" s="7" t="n">
        <x:v>1278.07</x:v>
      </x:c>
      <x:c r="F41" s="9" t="n">
        <x:v>1</x:v>
      </x:c>
      <x:c r="G41" s="2" t="str">
        <x:v>Москва</x:v>
      </x:c>
      <x:c r="H41" s="7" t="n">
        <x:f>E41*F41</x:f>
        <x:v>1278.07</x:v>
      </x:c>
      <x:c r="I41" s="2" t="str">
        <x:f>TEXT(B41,"yyyy-mm")</x:f>
        <x:v>2023-01</x:v>
      </x:c>
      <x:c r="J41" s="8" t="n">
        <x:f>COUNTIFS($H$2:$H$1201,"&gt;"&amp;H41)+COUNTIFS($H$2:H41,H41)</x:f>
        <x:v>1200</x:v>
      </x:c>
      <x:c r="K41" s="1"/>
      <x:c r="L41" s="1"/>
    </x:row>
    <x:row r="42" ht="22" customHeight="1">
      <x:c r="A42" s="8" t="n">
        <x:v>4</x:v>
      </x:c>
      <x:c r="B42" s="6" t="n">
        <x:v>44938</x:v>
      </x:c>
      <x:c r="C42" s="2" t="str">
        <x:v>Продукты</x:v>
      </x:c>
      <x:c r="D42" s="2" t="str">
        <x:v>Кофе</x:v>
      </x:c>
      <x:c r="E42" s="7" t="n">
        <x:v>52887.43</x:v>
      </x:c>
      <x:c r="F42" s="9" t="n">
        <x:v>5</x:v>
      </x:c>
      <x:c r="G42" s="2" t="str">
        <x:v>Санкт‑Петербург</x:v>
      </x:c>
      <x:c r="H42" s="7" t="n">
        <x:f>E42*F42</x:f>
        <x:v>264437.15</x:v>
      </x:c>
      <x:c r="I42" s="2" t="str">
        <x:f>TEXT(B42,"yyyy-mm")</x:f>
        <x:v>2023-01</x:v>
      </x:c>
      <x:c r="J42" s="8" t="n">
        <x:f>COUNTIFS($H$2:$H$1201,"&gt;"&amp;H42)+COUNTIFS($H$2:H42,H42)</x:f>
        <x:v>679</x:v>
      </x:c>
      <x:c r="K42" s="1"/>
      <x:c r="L42" s="1"/>
    </x:row>
    <x:row r="43" ht="22" customHeight="1">
      <x:c r="A43" s="8" t="n">
        <x:v>312</x:v>
      </x:c>
      <x:c r="B43" s="6" t="n">
        <x:v>44938</x:v>
      </x:c>
      <x:c r="C43" s="2" t="str">
        <x:v>Одежда</x:v>
      </x:c>
      <x:c r="D43" s="2" t="str">
        <x:v>Футболка</x:v>
      </x:c>
      <x:c r="E43" s="7" t="n">
        <x:v>131826.01</x:v>
      </x:c>
      <x:c r="F43" s="9" t="n">
        <x:v>8</x:v>
      </x:c>
      <x:c r="G43" s="2" t="str">
        <x:v>Екатеринбург</x:v>
      </x:c>
      <x:c r="H43" s="7" t="n">
        <x:f>E43*F43</x:f>
        <x:v>1054608.08</x:v>
      </x:c>
      <x:c r="I43" s="2" t="str">
        <x:f>TEXT(B43,"yyyy-mm")</x:f>
        <x:v>2023-01</x:v>
      </x:c>
      <x:c r="J43" s="8" t="n">
        <x:f>COUNTIFS($H$2:$H$1201,"&gt;"&amp;H43)+COUNTIFS($H$2:H43,H43)</x:f>
        <x:v>72</x:v>
      </x:c>
      <x:c r="K43" s="1"/>
      <x:c r="L43" s="1"/>
    </x:row>
    <x:row r="44" ht="22" customHeight="1">
      <x:c r="A44" s="8" t="n">
        <x:v>460</x:v>
      </x:c>
      <x:c r="B44" s="6" t="n">
        <x:v>44938</x:v>
      </x:c>
      <x:c r="C44" s="2" t="str">
        <x:v>Электроника</x:v>
      </x:c>
      <x:c r="D44" s="2" t="str">
        <x:v>Наушники</x:v>
      </x:c>
      <x:c r="E44" s="7" t="n">
        <x:v>92339.52</x:v>
      </x:c>
      <x:c r="F44" s="9" t="n">
        <x:v>7</x:v>
      </x:c>
      <x:c r="G44" s="2" t="str">
        <x:v>Москва</x:v>
      </x:c>
      <x:c r="H44" s="7" t="n">
        <x:f>E44*F44</x:f>
        <x:v>646376.64</x:v>
      </x:c>
      <x:c r="I44" s="2" t="str">
        <x:f>TEXT(B44,"yyyy-mm")</x:f>
        <x:v>2023-01</x:v>
      </x:c>
      <x:c r="J44" s="8" t="n">
        <x:f>COUNTIFS($H$2:$H$1201,"&gt;"&amp;H44)+COUNTIFS($H$2:H44,H44)</x:f>
        <x:v>299</x:v>
      </x:c>
      <x:c r="K44" s="1"/>
      <x:c r="L44" s="1"/>
    </x:row>
    <x:row r="45" ht="22" customHeight="1">
      <x:c r="A45" s="8" t="n">
        <x:v>521</x:v>
      </x:c>
      <x:c r="B45" s="6" t="n">
        <x:v>44938</x:v>
      </x:c>
      <x:c r="C45" s="2" t="str">
        <x:v>Электроника</x:v>
      </x:c>
      <x:c r="D45" s="2" t="str">
        <x:v>Наушники</x:v>
      </x:c>
      <x:c r="E45" s="7" t="n">
        <x:v>54907.86</x:v>
      </x:c>
      <x:c r="F45" s="9" t="n">
        <x:v>5</x:v>
      </x:c>
      <x:c r="G45" s="2" t="str">
        <x:v>Московская область</x:v>
      </x:c>
      <x:c r="H45" s="7" t="n">
        <x:f>E45*F45</x:f>
        <x:v>274539.3</x:v>
      </x:c>
      <x:c r="I45" s="2" t="str">
        <x:f>TEXT(B45,"yyyy-mm")</x:f>
        <x:v>2023-01</x:v>
      </x:c>
      <x:c r="J45" s="8" t="n">
        <x:f>COUNTIFS($H$2:$H$1201,"&gt;"&amp;H45)+COUNTIFS($H$2:H45,H45)</x:f>
        <x:v>665</x:v>
      </x:c>
      <x:c r="K45" s="1"/>
      <x:c r="L45" s="1"/>
    </x:row>
    <x:row r="46" ht="22" customHeight="1">
      <x:c r="A46" s="8" t="n">
        <x:v>3</x:v>
      </x:c>
      <x:c r="B46" s="6" t="n">
        <x:v>44939</x:v>
      </x:c>
      <x:c r="C46" s="2" t="str">
        <x:v>Товары для дома</x:v>
      </x:c>
      <x:c r="D46" s="2" t="str">
        <x:v>Полотенце</x:v>
      </x:c>
      <x:c r="E46" s="7" t="n">
        <x:v>145746.21</x:v>
      </x:c>
      <x:c r="F46" s="9" t="n">
        <x:v>10</x:v>
      </x:c>
      <x:c r="G46" s="2" t="str">
        <x:v>Новосибирск</x:v>
      </x:c>
      <x:c r="H46" s="7" t="n">
        <x:f>E46*F46</x:f>
        <x:v>1457462.0999999999</x:v>
      </x:c>
      <x:c r="I46" s="2" t="str">
        <x:f>TEXT(B46,"yyyy-mm")</x:f>
        <x:v>2023-01</x:v>
      </x:c>
      <x:c r="J46" s="8" t="n">
        <x:f>COUNTIFS($H$2:$H$1201,"&gt;"&amp;H46)+COUNTIFS($H$2:H46,H46)</x:f>
        <x:v>3</x:v>
      </x:c>
      <x:c r="K46" s="1"/>
      <x:c r="L46" s="1"/>
    </x:row>
    <x:row r="47" ht="22" customHeight="1">
      <x:c r="A47" s="8" t="n">
        <x:v>40</x:v>
      </x:c>
      <x:c r="B47" s="6" t="n">
        <x:v>44939</x:v>
      </x:c>
      <x:c r="C47" s="2" t="str">
        <x:v>Товары для дома</x:v>
      </x:c>
      <x:c r="D47" s="2" t="str">
        <x:v>Полотенце</x:v>
      </x:c>
      <x:c r="E47" s="7" t="n">
        <x:v>105031.52</x:v>
      </x:c>
      <x:c r="F47" s="9" t="n">
        <x:v>9</x:v>
      </x:c>
      <x:c r="G47" s="2" t="str">
        <x:v>Новосибирск</x:v>
      </x:c>
      <x:c r="H47" s="7" t="n">
        <x:f>E47*F47</x:f>
        <x:v>945283.68</x:v>
      </x:c>
      <x:c r="I47" s="2" t="str">
        <x:f>TEXT(B47,"yyyy-mm")</x:f>
        <x:v>2023-01</x:v>
      </x:c>
      <x:c r="J47" s="8" t="n">
        <x:f>COUNTIFS($H$2:$H$1201,"&gt;"&amp;H47)+COUNTIFS($H$2:H47,H47)</x:f>
        <x:v>111</x:v>
      </x:c>
      <x:c r="K47" s="1"/>
      <x:c r="L47" s="1"/>
    </x:row>
    <x:row r="48" ht="22" customHeight="1">
      <x:c r="A48" s="8" t="n">
        <x:v>677</x:v>
      </x:c>
      <x:c r="B48" s="6" t="n">
        <x:v>44939</x:v>
      </x:c>
      <x:c r="C48" s="2" t="str">
        <x:v>Товары для дома</x:v>
      </x:c>
      <x:c r="D48" s="2" t="str">
        <x:v>Подушка</x:v>
      </x:c>
      <x:c r="E48" s="7" t="n">
        <x:v>80197.78</x:v>
      </x:c>
      <x:c r="F48" s="9" t="n">
        <x:v>5</x:v>
      </x:c>
      <x:c r="G48" s="2" t="str">
        <x:v>Екатеринбург</x:v>
      </x:c>
      <x:c r="H48" s="7" t="n">
        <x:f>E48*F48</x:f>
        <x:v>400988.9</x:v>
      </x:c>
      <x:c r="I48" s="2" t="str">
        <x:f>TEXT(B48,"yyyy-mm")</x:f>
        <x:v>2023-01</x:v>
      </x:c>
      <x:c r="J48" s="8" t="n">
        <x:f>COUNTIFS($H$2:$H$1201,"&gt;"&amp;H48)+COUNTIFS($H$2:H48,H48)</x:f>
        <x:v>513</x:v>
      </x:c>
      <x:c r="K48" s="1"/>
      <x:c r="L48" s="1"/>
    </x:row>
    <x:row r="49" ht="22" customHeight="1">
      <x:c r="A49" s="8" t="n">
        <x:v>805</x:v>
      </x:c>
      <x:c r="B49" s="6" t="n">
        <x:v>44939</x:v>
      </x:c>
      <x:c r="C49" s="2" t="str">
        <x:v>Электроника</x:v>
      </x:c>
      <x:c r="D49" s="2" t="str">
        <x:v>Ноутбук</x:v>
      </x:c>
      <x:c r="E49" s="7" t="n">
        <x:v>1797.68</x:v>
      </x:c>
      <x:c r="F49" s="9" t="n">
        <x:v>1</x:v>
      </x:c>
      <x:c r="G49" s="2" t="str">
        <x:v>Казань</x:v>
      </x:c>
      <x:c r="H49" s="7" t="n">
        <x:f>E49*F49</x:f>
        <x:v>1797.68</x:v>
      </x:c>
      <x:c r="I49" s="2" t="str">
        <x:f>TEXT(B49,"yyyy-mm")</x:f>
        <x:v>2023-01</x:v>
      </x:c>
      <x:c r="J49" s="8" t="n">
        <x:f>COUNTIFS($H$2:$H$1201,"&gt;"&amp;H49)+COUNTIFS($H$2:H49,H49)</x:f>
        <x:v>1197</x:v>
      </x:c>
      <x:c r="K49" s="1"/>
      <x:c r="L49" s="1"/>
    </x:row>
    <x:row r="50" ht="22" customHeight="1">
      <x:c r="A50" s="8" t="n">
        <x:v>885</x:v>
      </x:c>
      <x:c r="B50" s="6" t="n">
        <x:v>44939</x:v>
      </x:c>
      <x:c r="C50" s="2" t="str">
        <x:v>Продукты</x:v>
      </x:c>
      <x:c r="D50" s="2" t="str">
        <x:v>Хлеб</x:v>
      </x:c>
      <x:c r="E50" s="7" t="n">
        <x:v>54028.87</x:v>
      </x:c>
      <x:c r="F50" s="9" t="n">
        <x:v>3</x:v>
      </x:c>
      <x:c r="G50" s="2" t="str">
        <x:v>Екатеринбург</x:v>
      </x:c>
      <x:c r="H50" s="7" t="n">
        <x:f>E50*F50</x:f>
        <x:v>162086.61000000002</x:v>
      </x:c>
      <x:c r="I50" s="2" t="str">
        <x:f>TEXT(B50,"yyyy-mm")</x:f>
        <x:v>2023-01</x:v>
      </x:c>
      <x:c r="J50" s="8" t="n">
        <x:f>COUNTIFS($H$2:$H$1201,"&gt;"&amp;H50)+COUNTIFS($H$2:H50,H50)</x:f>
        <x:v>836</x:v>
      </x:c>
      <x:c r="K50" s="1"/>
      <x:c r="L50" s="1"/>
    </x:row>
    <x:row r="51" ht="22" customHeight="1">
      <x:c r="A51" s="8" t="n">
        <x:v>75</x:v>
      </x:c>
      <x:c r="B51" s="6" t="n">
        <x:v>44940</x:v>
      </x:c>
      <x:c r="C51" s="2" t="str">
        <x:v>Продукты</x:v>
      </x:c>
      <x:c r="D51" s="2" t="str">
        <x:v>Кофе</x:v>
      </x:c>
      <x:c r="E51" s="7" t="n">
        <x:v>39035.36</x:v>
      </x:c>
      <x:c r="F51" s="9" t="n">
        <x:v>7</x:v>
      </x:c>
      <x:c r="G51" s="2" t="str">
        <x:v>Новосибирск</x:v>
      </x:c>
      <x:c r="H51" s="7" t="n">
        <x:f>E51*F51</x:f>
        <x:v>273247.52</x:v>
      </x:c>
      <x:c r="I51" s="2" t="str">
        <x:f>TEXT(B51,"yyyy-mm")</x:f>
        <x:v>2023-01</x:v>
      </x:c>
      <x:c r="J51" s="8" t="n">
        <x:f>COUNTIFS($H$2:$H$1201,"&gt;"&amp;H51)+COUNTIFS($H$2:H51,H51)</x:f>
        <x:v>666</x:v>
      </x:c>
      <x:c r="K51" s="1"/>
      <x:c r="L51" s="1"/>
    </x:row>
    <x:row r="52" ht="22" customHeight="1">
      <x:c r="A52" s="8" t="n">
        <x:v>892</x:v>
      </x:c>
      <x:c r="B52" s="6" t="n">
        <x:v>44940</x:v>
      </x:c>
      <x:c r="C52" s="2" t="str">
        <x:v>Одежда</x:v>
      </x:c>
      <x:c r="D52" s="2" t="str">
        <x:v>Куртка</x:v>
      </x:c>
      <x:c r="E52" s="7" t="n">
        <x:v>60813.59</x:v>
      </x:c>
      <x:c r="F52" s="9" t="n">
        <x:v>7</x:v>
      </x:c>
      <x:c r="G52" s="2" t="str">
        <x:v>Казань</x:v>
      </x:c>
      <x:c r="H52" s="7" t="n">
        <x:f>E52*F52</x:f>
        <x:v>425695.13</x:v>
      </x:c>
      <x:c r="I52" s="2" t="str">
        <x:f>TEXT(B52,"yyyy-mm")</x:f>
        <x:v>2023-01</x:v>
      </x:c>
      <x:c r="J52" s="8" t="n">
        <x:f>COUNTIFS($H$2:$H$1201,"&gt;"&amp;H52)+COUNTIFS($H$2:H52,H52)</x:f>
        <x:v>488</x:v>
      </x:c>
      <x:c r="K52" s="1"/>
      <x:c r="L52" s="1"/>
    </x:row>
    <x:row r="53" ht="22" customHeight="1">
      <x:c r="A53" s="8" t="n">
        <x:v>200</x:v>
      </x:c>
      <x:c r="B53" s="6" t="n">
        <x:v>44941</x:v>
      </x:c>
      <x:c r="C53" s="2" t="str">
        <x:v>Товары для дома</x:v>
      </x:c>
      <x:c r="D53" s="2" t="str">
        <x:v>Кружка</x:v>
      </x:c>
      <x:c r="E53" s="7" t="n">
        <x:v>12553.42</x:v>
      </x:c>
      <x:c r="F53" s="9" t="n">
        <x:v>2</x:v>
      </x:c>
      <x:c r="G53" s="2" t="str">
        <x:v>Санкт‑Петербург</x:v>
      </x:c>
      <x:c r="H53" s="7" t="n">
        <x:f>E53*F53</x:f>
        <x:v>25106.84</x:v>
      </x:c>
      <x:c r="I53" s="2" t="str">
        <x:f>TEXT(B53,"yyyy-mm")</x:f>
        <x:v>2023-01</x:v>
      </x:c>
      <x:c r="J53" s="8" t="n">
        <x:f>COUNTIFS($H$2:$H$1201,"&gt;"&amp;H53)+COUNTIFS($H$2:H53,H53)</x:f>
        <x:v>1141</x:v>
      </x:c>
      <x:c r="K53" s="1"/>
      <x:c r="L53" s="1"/>
    </x:row>
    <x:row r="54" ht="22" customHeight="1">
      <x:c r="A54" s="8" t="n">
        <x:v>48</x:v>
      </x:c>
      <x:c r="B54" s="6" t="n">
        <x:v>44942</x:v>
      </x:c>
      <x:c r="C54" s="2" t="str">
        <x:v>Товары для дома</x:v>
      </x:c>
      <x:c r="D54" s="2" t="str">
        <x:v>Кружка</x:v>
      </x:c>
      <x:c r="E54" s="7" t="n">
        <x:v>74072.51</x:v>
      </x:c>
      <x:c r="F54" s="9" t="n">
        <x:v>9</x:v>
      </x:c>
      <x:c r="G54" s="2" t="str">
        <x:v>Новосибирск</x:v>
      </x:c>
      <x:c r="H54" s="7" t="n">
        <x:f>E54*F54</x:f>
        <x:v>666652.59</x:v>
      </x:c>
      <x:c r="I54" s="2" t="str">
        <x:f>TEXT(B54,"yyyy-mm")</x:f>
        <x:v>2023-01</x:v>
      </x:c>
      <x:c r="J54" s="8" t="n">
        <x:f>COUNTIFS($H$2:$H$1201,"&gt;"&amp;H54)+COUNTIFS($H$2:H54,H54)</x:f>
        <x:v>289</x:v>
      </x:c>
      <x:c r="K54" s="1"/>
      <x:c r="L54" s="1"/>
    </x:row>
    <x:row r="55" ht="22" customHeight="1">
      <x:c r="A55" s="8" t="n">
        <x:v>382</x:v>
      </x:c>
      <x:c r="B55" s="6" t="n">
        <x:v>44942</x:v>
      </x:c>
      <x:c r="C55" s="2" t="str">
        <x:v>Одежда</x:v>
      </x:c>
      <x:c r="D55" s="2" t="str">
        <x:v>Кроссовки</x:v>
      </x:c>
      <x:c r="E55" s="7" t="n">
        <x:v>65645.32</x:v>
      </x:c>
      <x:c r="F55" s="9" t="n">
        <x:v>6</x:v>
      </x:c>
      <x:c r="G55" s="2" t="str">
        <x:v>Екатеринбург</x:v>
      </x:c>
      <x:c r="H55" s="7" t="n">
        <x:f>E55*F55</x:f>
        <x:v>393871.92000000004</x:v>
      </x:c>
      <x:c r="I55" s="2" t="str">
        <x:f>TEXT(B55,"yyyy-mm")</x:f>
        <x:v>2023-01</x:v>
      </x:c>
      <x:c r="J55" s="8" t="n">
        <x:f>COUNTIFS($H$2:$H$1201,"&gt;"&amp;H55)+COUNTIFS($H$2:H55,H55)</x:f>
        <x:v>528</x:v>
      </x:c>
      <x:c r="K55" s="1"/>
      <x:c r="L55" s="1"/>
    </x:row>
    <x:row r="56" ht="22" customHeight="1">
      <x:c r="A56" s="8" t="n">
        <x:v>511</x:v>
      </x:c>
      <x:c r="B56" s="6" t="n">
        <x:v>44942</x:v>
      </x:c>
      <x:c r="C56" s="2" t="str">
        <x:v>Электроника</x:v>
      </x:c>
      <x:c r="D56" s="2" t="str">
        <x:v>Наушники</x:v>
      </x:c>
      <x:c r="E56" s="7" t="n">
        <x:v>6275.89</x:v>
      </x:c>
      <x:c r="F56" s="9" t="n">
        <x:v>2</x:v>
      </x:c>
      <x:c r="G56" s="2" t="str">
        <x:v>Санкт‑Петербург</x:v>
      </x:c>
      <x:c r="H56" s="7" t="n">
        <x:f>E56*F56</x:f>
        <x:v>12551.78</x:v>
      </x:c>
      <x:c r="I56" s="2" t="str">
        <x:f>TEXT(B56,"yyyy-mm")</x:f>
        <x:v>2023-01</x:v>
      </x:c>
      <x:c r="J56" s="8" t="n">
        <x:f>COUNTIFS($H$2:$H$1201,"&gt;"&amp;H56)+COUNTIFS($H$2:H56,H56)</x:f>
        <x:v>1176</x:v>
      </x:c>
      <x:c r="K56" s="1"/>
      <x:c r="L56" s="1"/>
    </x:row>
    <x:row r="57" ht="22" customHeight="1">
      <x:c r="A57" s="8" t="n">
        <x:v>586</x:v>
      </x:c>
      <x:c r="B57" s="6" t="n">
        <x:v>44942</x:v>
      </x:c>
      <x:c r="C57" s="2" t="str">
        <x:v>Электроника</x:v>
      </x:c>
      <x:c r="D57" s="2" t="str">
        <x:v>Планшет</x:v>
      </x:c>
      <x:c r="E57" s="7" t="n">
        <x:v>119390.3</x:v>
      </x:c>
      <x:c r="F57" s="9" t="n">
        <x:v>5</x:v>
      </x:c>
      <x:c r="G57" s="2" t="str">
        <x:v>Москва</x:v>
      </x:c>
      <x:c r="H57" s="7" t="n">
        <x:f>E57*F57</x:f>
        <x:v>596951.5</x:v>
      </x:c>
      <x:c r="I57" s="2" t="str">
        <x:f>TEXT(B57,"yyyy-mm")</x:f>
        <x:v>2023-01</x:v>
      </x:c>
      <x:c r="J57" s="8" t="n">
        <x:f>COUNTIFS($H$2:$H$1201,"&gt;"&amp;H57)+COUNTIFS($H$2:H57,H57)</x:f>
        <x:v>320</x:v>
      </x:c>
      <x:c r="K57" s="1"/>
      <x:c r="L57" s="1"/>
    </x:row>
    <x:row r="58" ht="22" customHeight="1">
      <x:c r="A58" s="8" t="n">
        <x:v>708</x:v>
      </x:c>
      <x:c r="B58" s="6" t="n">
        <x:v>44942</x:v>
      </x:c>
      <x:c r="C58" s="2" t="str">
        <x:v>Товары для дома</x:v>
      </x:c>
      <x:c r="D58" s="2" t="str">
        <x:v>Плед</x:v>
      </x:c>
      <x:c r="E58" s="7" t="n">
        <x:v>122745.45</x:v>
      </x:c>
      <x:c r="F58" s="9" t="n">
        <x:v>6</x:v>
      </x:c>
      <x:c r="G58" s="2" t="str">
        <x:v>Казань</x:v>
      </x:c>
      <x:c r="H58" s="7" t="n">
        <x:f>E58*F58</x:f>
        <x:v>736472.7</x:v>
      </x:c>
      <x:c r="I58" s="2" t="str">
        <x:f>TEXT(B58,"yyyy-mm")</x:f>
        <x:v>2023-01</x:v>
      </x:c>
      <x:c r="J58" s="8" t="n">
        <x:f>COUNTIFS($H$2:$H$1201,"&gt;"&amp;H58)+COUNTIFS($H$2:H58,H58)</x:f>
        <x:v>235</x:v>
      </x:c>
      <x:c r="K58" s="1"/>
      <x:c r="L58" s="1"/>
    </x:row>
    <x:row r="59" ht="22" customHeight="1">
      <x:c r="A59" s="8" t="n">
        <x:v>422</x:v>
      </x:c>
      <x:c r="B59" s="6" t="n">
        <x:v>44943</x:v>
      </x:c>
      <x:c r="C59" s="2" t="str">
        <x:v>Электроника</x:v>
      </x:c>
      <x:c r="D59" s="2" t="str">
        <x:v>Наушники</x:v>
      </x:c>
      <x:c r="E59" s="7" t="n">
        <x:v>70703.68</x:v>
      </x:c>
      <x:c r="F59" s="9" t="n">
        <x:v>6</x:v>
      </x:c>
      <x:c r="G59" s="2" t="str">
        <x:v>Новосибирск</x:v>
      </x:c>
      <x:c r="H59" s="7" t="n">
        <x:f>E59*F59</x:f>
        <x:v>424222.07999999996</x:v>
      </x:c>
      <x:c r="I59" s="2" t="str">
        <x:f>TEXT(B59,"yyyy-mm")</x:f>
        <x:v>2023-01</x:v>
      </x:c>
      <x:c r="J59" s="8" t="n">
        <x:f>COUNTIFS($H$2:$H$1201,"&gt;"&amp;H59)+COUNTIFS($H$2:H59,H59)</x:f>
        <x:v>491</x:v>
      </x:c>
      <x:c r="K59" s="1"/>
      <x:c r="L59" s="1"/>
    </x:row>
    <x:row r="60" ht="22" customHeight="1">
      <x:c r="A60" s="8" t="n">
        <x:v>644</x:v>
      </x:c>
      <x:c r="B60" s="6" t="n">
        <x:v>44943</x:v>
      </x:c>
      <x:c r="C60" s="2" t="str">
        <x:v>Продукты</x:v>
      </x:c>
      <x:c r="D60" s="2" t="str">
        <x:v>Хлеб</x:v>
      </x:c>
      <x:c r="E60" s="7" t="n">
        <x:v>59371.53</x:v>
      </x:c>
      <x:c r="F60" s="9" t="n">
        <x:v>1</x:v>
      </x:c>
      <x:c r="G60" s="2" t="str">
        <x:v>Казань</x:v>
      </x:c>
      <x:c r="H60" s="7" t="n">
        <x:f>E60*F60</x:f>
        <x:v>59371.53</x:v>
      </x:c>
      <x:c r="I60" s="2" t="str">
        <x:f>TEXT(B60,"yyyy-mm")</x:f>
        <x:v>2023-01</x:v>
      </x:c>
      <x:c r="J60" s="8" t="n">
        <x:f>COUNTIFS($H$2:$H$1201,"&gt;"&amp;H60)+COUNTIFS($H$2:H60,H60)</x:f>
        <x:v>1061</x:v>
      </x:c>
      <x:c r="K60" s="1"/>
      <x:c r="L60" s="1"/>
    </x:row>
    <x:row r="61" ht="22" customHeight="1">
      <x:c r="A61" s="8" t="n">
        <x:v>663</x:v>
      </x:c>
      <x:c r="B61" s="6" t="n">
        <x:v>44943</x:v>
      </x:c>
      <x:c r="C61" s="2" t="str">
        <x:v>Продукты</x:v>
      </x:c>
      <x:c r="D61" s="2" t="str">
        <x:v>Кофе</x:v>
      </x:c>
      <x:c r="E61" s="7" t="n">
        <x:v>62193.12</x:v>
      </x:c>
      <x:c r="F61" s="9" t="n">
        <x:v>1</x:v>
      </x:c>
      <x:c r="G61" s="2" t="str">
        <x:v>Екатеринбург</x:v>
      </x:c>
      <x:c r="H61" s="7" t="n">
        <x:f>E61*F61</x:f>
        <x:v>62193.12</x:v>
      </x:c>
      <x:c r="I61" s="2" t="str">
        <x:f>TEXT(B61,"yyyy-mm")</x:f>
        <x:v>2023-01</x:v>
      </x:c>
      <x:c r="J61" s="8" t="n">
        <x:f>COUNTIFS($H$2:$H$1201,"&gt;"&amp;H61)+COUNTIFS($H$2:H61,H61)</x:f>
        <x:v>1053</x:v>
      </x:c>
      <x:c r="K61" s="1"/>
      <x:c r="L61" s="1"/>
    </x:row>
    <x:row r="62" ht="22" customHeight="1">
      <x:c r="A62" s="8" t="n">
        <x:v>95</x:v>
      </x:c>
      <x:c r="B62" s="6" t="n">
        <x:v>44944</x:v>
      </x:c>
      <x:c r="C62" s="2" t="str">
        <x:v>Электроника</x:v>
      </x:c>
      <x:c r="D62" s="2" t="str">
        <x:v>Наушники</x:v>
      </x:c>
      <x:c r="E62" s="7" t="n">
        <x:v>61471.52</x:v>
      </x:c>
      <x:c r="F62" s="9" t="n">
        <x:v>8</x:v>
      </x:c>
      <x:c r="G62" s="2" t="str">
        <x:v>Московская область</x:v>
      </x:c>
      <x:c r="H62" s="7" t="n">
        <x:f>E62*F62</x:f>
        <x:v>491772.16</x:v>
      </x:c>
      <x:c r="I62" s="2" t="str">
        <x:f>TEXT(B62,"yyyy-mm")</x:f>
        <x:v>2023-01</x:v>
      </x:c>
      <x:c r="J62" s="8" t="n">
        <x:f>COUNTIFS($H$2:$H$1201,"&gt;"&amp;H62)+COUNTIFS($H$2:H62,H62)</x:f>
        <x:v>418</x:v>
      </x:c>
      <x:c r="K62" s="1"/>
      <x:c r="L62" s="1"/>
    </x:row>
    <x:row r="63" ht="22" customHeight="1">
      <x:c r="A63" s="8" t="n">
        <x:v>577</x:v>
      </x:c>
      <x:c r="B63" s="6" t="n">
        <x:v>44945</x:v>
      </x:c>
      <x:c r="C63" s="2" t="str">
        <x:v>Товары для дома</x:v>
      </x:c>
      <x:c r="D63" s="2" t="str">
        <x:v>Полотенце</x:v>
      </x:c>
      <x:c r="E63" s="7" t="n">
        <x:v>71332.6</x:v>
      </x:c>
      <x:c r="F63" s="9" t="n">
        <x:v>1</x:v>
      </x:c>
      <x:c r="G63" s="2" t="str">
        <x:v>Москва</x:v>
      </x:c>
      <x:c r="H63" s="7" t="n">
        <x:f>E63*F63</x:f>
        <x:v>71332.6</x:v>
      </x:c>
      <x:c r="I63" s="2" t="str">
        <x:f>TEXT(B63,"yyyy-mm")</x:f>
        <x:v>2023-01</x:v>
      </x:c>
      <x:c r="J63" s="8" t="n">
        <x:f>COUNTIFS($H$2:$H$1201,"&gt;"&amp;H63)+COUNTIFS($H$2:H63,H63)</x:f>
        <x:v>1037</x:v>
      </x:c>
      <x:c r="K63" s="1"/>
      <x:c r="L63" s="1"/>
    </x:row>
    <x:row r="64" ht="22" customHeight="1">
      <x:c r="A64" s="8" t="n">
        <x:v>602</x:v>
      </x:c>
      <x:c r="B64" s="6" t="n">
        <x:v>44945</x:v>
      </x:c>
      <x:c r="C64" s="2" t="str">
        <x:v>Товары для дома</x:v>
      </x:c>
      <x:c r="D64" s="2" t="str">
        <x:v>Плед</x:v>
      </x:c>
      <x:c r="E64" s="7" t="n">
        <x:v>144366.56</x:v>
      </x:c>
      <x:c r="F64" s="9" t="n">
        <x:v>5</x:v>
      </x:c>
      <x:c r="G64" s="2" t="str">
        <x:v>Казань</x:v>
      </x:c>
      <x:c r="H64" s="7" t="n">
        <x:f>E64*F64</x:f>
        <x:v>721832.8</x:v>
      </x:c>
      <x:c r="I64" s="2" t="str">
        <x:f>TEXT(B64,"yyyy-mm")</x:f>
        <x:v>2023-01</x:v>
      </x:c>
      <x:c r="J64" s="8" t="n">
        <x:f>COUNTIFS($H$2:$H$1201,"&gt;"&amp;H64)+COUNTIFS($H$2:H64,H64)</x:f>
        <x:v>250</x:v>
      </x:c>
      <x:c r="K64" s="1"/>
      <x:c r="L64" s="1"/>
    </x:row>
    <x:row r="65" ht="22" customHeight="1">
      <x:c r="A65" s="8" t="n">
        <x:v>1004</x:v>
      </x:c>
      <x:c r="B65" s="6" t="n">
        <x:v>44945</x:v>
      </x:c>
      <x:c r="C65" s="2" t="str">
        <x:v>Одежда</x:v>
      </x:c>
      <x:c r="D65" s="2" t="str">
        <x:v>Куртка</x:v>
      </x:c>
      <x:c r="E65" s="7" t="n">
        <x:v>28335.65</x:v>
      </x:c>
      <x:c r="F65" s="9" t="n">
        <x:v>2</x:v>
      </x:c>
      <x:c r="G65" s="2" t="str">
        <x:v>Санкт‑Петербург</x:v>
      </x:c>
      <x:c r="H65" s="7" t="n">
        <x:f>E65*F65</x:f>
        <x:v>56671.3</x:v>
      </x:c>
      <x:c r="I65" s="2" t="str">
        <x:f>TEXT(B65,"yyyy-mm")</x:f>
        <x:v>2023-01</x:v>
      </x:c>
      <x:c r="J65" s="8" t="n">
        <x:f>COUNTIFS($H$2:$H$1201,"&gt;"&amp;H65)+COUNTIFS($H$2:H65,H65)</x:f>
        <x:v>1073</x:v>
      </x:c>
      <x:c r="K65" s="1"/>
      <x:c r="L65" s="1"/>
    </x:row>
    <x:row r="66" ht="22" customHeight="1">
      <x:c r="A66" s="8" t="n">
        <x:v>212</x:v>
      </x:c>
      <x:c r="B66" s="6" t="n">
        <x:v>44947</x:v>
      </x:c>
      <x:c r="C66" s="2" t="str">
        <x:v>Товары для дома</x:v>
      </x:c>
      <x:c r="D66" s="2" t="str">
        <x:v>Полотенце</x:v>
      </x:c>
      <x:c r="E66" s="7" t="n">
        <x:v>56938.37</x:v>
      </x:c>
      <x:c r="F66" s="9" t="n">
        <x:v>6</x:v>
      </x:c>
      <x:c r="G66" s="2" t="str">
        <x:v>Новосибирск</x:v>
      </x:c>
      <x:c r="H66" s="7" t="n">
        <x:f>E66*F66</x:f>
        <x:v>341630.22000000003</x:v>
      </x:c>
      <x:c r="I66" s="2" t="str">
        <x:f>TEXT(B66,"yyyy-mm")</x:f>
        <x:v>2023-01</x:v>
      </x:c>
      <x:c r="J66" s="8" t="n">
        <x:f>COUNTIFS($H$2:$H$1201,"&gt;"&amp;H66)+COUNTIFS($H$2:H66,H66)</x:f>
        <x:v>593</x:v>
      </x:c>
      <x:c r="K66" s="1"/>
      <x:c r="L66" s="1"/>
    </x:row>
    <x:row r="67" ht="22" customHeight="1">
      <x:c r="A67" s="8" t="n">
        <x:v>446</x:v>
      </x:c>
      <x:c r="B67" s="6" t="n">
        <x:v>44947</x:v>
      </x:c>
      <x:c r="C67" s="2" t="str">
        <x:v>Одежда</x:v>
      </x:c>
      <x:c r="D67" s="2" t="str">
        <x:v>Куртка</x:v>
      </x:c>
      <x:c r="E67" s="7" t="n">
        <x:v>101544.1</x:v>
      </x:c>
      <x:c r="F67" s="9" t="n">
        <x:v>1</x:v>
      </x:c>
      <x:c r="G67" s="2" t="str">
        <x:v>Московская область</x:v>
      </x:c>
      <x:c r="H67" s="7" t="n">
        <x:f>E67*F67</x:f>
        <x:v>101544.1</x:v>
      </x:c>
      <x:c r="I67" s="2" t="str">
        <x:f>TEXT(B67,"yyyy-mm")</x:f>
        <x:v>2023-01</x:v>
      </x:c>
      <x:c r="J67" s="8" t="n">
        <x:f>COUNTIFS($H$2:$H$1201,"&gt;"&amp;H67)+COUNTIFS($H$2:H67,H67)</x:f>
        <x:v>970</x:v>
      </x:c>
      <x:c r="K67" s="1"/>
      <x:c r="L67" s="1"/>
    </x:row>
    <x:row r="68" ht="22" customHeight="1">
      <x:c r="A68" s="8" t="n">
        <x:v>743</x:v>
      </x:c>
      <x:c r="B68" s="6" t="n">
        <x:v>44947</x:v>
      </x:c>
      <x:c r="C68" s="2" t="str">
        <x:v>Одежда</x:v>
      </x:c>
      <x:c r="D68" s="2" t="str">
        <x:v>Куртка</x:v>
      </x:c>
      <x:c r="E68" s="7" t="n">
        <x:v>77467.51</x:v>
      </x:c>
      <x:c r="F68" s="9" t="n">
        <x:v>4</x:v>
      </x:c>
      <x:c r="G68" s="2" t="str">
        <x:v>Санкт‑Петербург</x:v>
      </x:c>
      <x:c r="H68" s="7" t="n">
        <x:f>E68*F68</x:f>
        <x:v>309870.04</x:v>
      </x:c>
      <x:c r="I68" s="2" t="str">
        <x:f>TEXT(B68,"yyyy-mm")</x:f>
        <x:v>2023-01</x:v>
      </x:c>
      <x:c r="J68" s="8" t="n">
        <x:f>COUNTIFS($H$2:$H$1201,"&gt;"&amp;H68)+COUNTIFS($H$2:H68,H68)</x:f>
        <x:v>626</x:v>
      </x:c>
      <x:c r="K68" s="1"/>
      <x:c r="L68" s="1"/>
    </x:row>
    <x:row r="69" ht="22" customHeight="1">
      <x:c r="A69" s="8" t="n">
        <x:v>1016</x:v>
      </x:c>
      <x:c r="B69" s="6" t="n">
        <x:v>44948</x:v>
      </x:c>
      <x:c r="C69" s="2" t="str">
        <x:v>Товары для дома</x:v>
      </x:c>
      <x:c r="D69" s="2" t="str">
        <x:v>Полотенце</x:v>
      </x:c>
      <x:c r="E69" s="7" t="n">
        <x:v>49552.06</x:v>
      </x:c>
      <x:c r="F69" s="9" t="n">
        <x:v>5</x:v>
      </x:c>
      <x:c r="G69" s="2" t="str">
        <x:v>Москва</x:v>
      </x:c>
      <x:c r="H69" s="7" t="n">
        <x:f>E69*F69</x:f>
        <x:v>247760.3</x:v>
      </x:c>
      <x:c r="I69" s="2" t="str">
        <x:f>TEXT(B69,"yyyy-mm")</x:f>
        <x:v>2023-01</x:v>
      </x:c>
      <x:c r="J69" s="8" t="n">
        <x:f>COUNTIFS($H$2:$H$1201,"&gt;"&amp;H69)+COUNTIFS($H$2:H69,H69)</x:f>
        <x:v>706</x:v>
      </x:c>
      <x:c r="K69" s="1"/>
      <x:c r="L69" s="1"/>
    </x:row>
    <x:row r="70" ht="22" customHeight="1">
      <x:c r="A70" s="8" t="n">
        <x:v>524</x:v>
      </x:c>
      <x:c r="B70" s="6" t="n">
        <x:v>44949</x:v>
      </x:c>
      <x:c r="C70" s="2" t="str">
        <x:v>Товары для дома</x:v>
      </x:c>
      <x:c r="D70" s="2" t="str">
        <x:v>Плед</x:v>
      </x:c>
      <x:c r="E70" s="7" t="n">
        <x:v>47543.18</x:v>
      </x:c>
      <x:c r="F70" s="9" t="n">
        <x:v>9</x:v>
      </x:c>
      <x:c r="G70" s="2" t="str">
        <x:v>Московская область</x:v>
      </x:c>
      <x:c r="H70" s="7" t="n">
        <x:f>E70*F70</x:f>
        <x:v>427888.62</x:v>
      </x:c>
      <x:c r="I70" s="2" t="str">
        <x:f>TEXT(B70,"yyyy-mm")</x:f>
        <x:v>2023-01</x:v>
      </x:c>
      <x:c r="J70" s="8" t="n">
        <x:f>COUNTIFS($H$2:$H$1201,"&gt;"&amp;H70)+COUNTIFS($H$2:H70,H70)</x:f>
        <x:v>487</x:v>
      </x:c>
      <x:c r="K70" s="1"/>
      <x:c r="L70" s="1"/>
    </x:row>
    <x:row r="71" ht="22" customHeight="1">
      <x:c r="A71" s="8" t="n">
        <x:v>620</x:v>
      </x:c>
      <x:c r="B71" s="6" t="n">
        <x:v>44949</x:v>
      </x:c>
      <x:c r="C71" s="2" t="str">
        <x:v>Одежда</x:v>
      </x:c>
      <x:c r="D71" s="2" t="str">
        <x:v>Джинсы</x:v>
      </x:c>
      <x:c r="E71" s="7" t="n">
        <x:v>33764.7</x:v>
      </x:c>
      <x:c r="F71" s="9" t="n">
        <x:v>5</x:v>
      </x:c>
      <x:c r="G71" s="2" t="str">
        <x:v>Москва</x:v>
      </x:c>
      <x:c r="H71" s="7" t="n">
        <x:f>E71*F71</x:f>
        <x:v>168823.5</x:v>
      </x:c>
      <x:c r="I71" s="2" t="str">
        <x:f>TEXT(B71,"yyyy-mm")</x:f>
        <x:v>2023-01</x:v>
      </x:c>
      <x:c r="J71" s="8" t="n">
        <x:f>COUNTIFS($H$2:$H$1201,"&gt;"&amp;H71)+COUNTIFS($H$2:H71,H71)</x:f>
        <x:v>824</x:v>
      </x:c>
      <x:c r="K71" s="1"/>
      <x:c r="L71" s="1"/>
    </x:row>
    <x:row r="72" ht="22" customHeight="1">
      <x:c r="A72" s="8" t="n">
        <x:v>1143</x:v>
      </x:c>
      <x:c r="B72" s="6" t="n">
        <x:v>44949</x:v>
      </x:c>
      <x:c r="C72" s="2" t="str">
        <x:v>Электроника</x:v>
      </x:c>
      <x:c r="D72" s="2" t="str">
        <x:v>Планшет</x:v>
      </x:c>
      <x:c r="E72" s="7" t="n">
        <x:v>145630.69</x:v>
      </x:c>
      <x:c r="F72" s="9" t="n">
        <x:v>10</x:v>
      </x:c>
      <x:c r="G72" s="2" t="str">
        <x:v>Санкт‑Петербург</x:v>
      </x:c>
      <x:c r="H72" s="7" t="n">
        <x:f>E72*F72</x:f>
        <x:v>1456306.9</x:v>
      </x:c>
      <x:c r="I72" s="2" t="str">
        <x:f>TEXT(B72,"yyyy-mm")</x:f>
        <x:v>2023-01</x:v>
      </x:c>
      <x:c r="J72" s="8" t="n">
        <x:f>COUNTIFS($H$2:$H$1201,"&gt;"&amp;H72)+COUNTIFS($H$2:H72,H72)</x:f>
        <x:v>4</x:v>
      </x:c>
      <x:c r="K72" s="1"/>
      <x:c r="L72" s="1"/>
    </x:row>
    <x:row r="73" ht="22" customHeight="1">
      <x:c r="A73" s="8" t="n">
        <x:v>1163</x:v>
      </x:c>
      <x:c r="B73" s="6" t="n">
        <x:v>44949</x:v>
      </x:c>
      <x:c r="C73" s="2" t="str">
        <x:v>Одежда</x:v>
      </x:c>
      <x:c r="D73" s="2" t="str">
        <x:v>Кроссовки</x:v>
      </x:c>
      <x:c r="E73" s="7" t="n">
        <x:v>46147.51</x:v>
      </x:c>
      <x:c r="F73" s="9" t="n">
        <x:v>10</x:v>
      </x:c>
      <x:c r="G73" s="2" t="str">
        <x:v>Екатеринбург</x:v>
      </x:c>
      <x:c r="H73" s="7" t="n">
        <x:f>E73*F73</x:f>
        <x:v>461475.10000000003</x:v>
      </x:c>
      <x:c r="I73" s="2" t="str">
        <x:f>TEXT(B73,"yyyy-mm")</x:f>
        <x:v>2023-01</x:v>
      </x:c>
      <x:c r="J73" s="8" t="n">
        <x:f>COUNTIFS($H$2:$H$1201,"&gt;"&amp;H73)+COUNTIFS($H$2:H73,H73)</x:f>
        <x:v>440</x:v>
      </x:c>
      <x:c r="K73" s="1"/>
      <x:c r="L73" s="1"/>
    </x:row>
    <x:row r="74" ht="22" customHeight="1">
      <x:c r="A74" s="8" t="n">
        <x:v>134</x:v>
      </x:c>
      <x:c r="B74" s="6" t="n">
        <x:v>44950</x:v>
      </x:c>
      <x:c r="C74" s="2" t="str">
        <x:v>Электроника</x:v>
      </x:c>
      <x:c r="D74" s="2" t="str">
        <x:v>Планшет</x:v>
      </x:c>
      <x:c r="E74" s="7" t="n">
        <x:v>111600.5</x:v>
      </x:c>
      <x:c r="F74" s="9" t="n">
        <x:v>5</x:v>
      </x:c>
      <x:c r="G74" s="2" t="str">
        <x:v>Санкт‑Петербург</x:v>
      </x:c>
      <x:c r="H74" s="7" t="n">
        <x:f>E74*F74</x:f>
        <x:v>558002.5</x:v>
      </x:c>
      <x:c r="I74" s="2" t="str">
        <x:f>TEXT(B74,"yyyy-mm")</x:f>
        <x:v>2023-01</x:v>
      </x:c>
      <x:c r="J74" s="8" t="n">
        <x:f>COUNTIFS($H$2:$H$1201,"&gt;"&amp;H74)+COUNTIFS($H$2:H74,H74)</x:f>
        <x:v>361</x:v>
      </x:c>
      <x:c r="K74" s="1"/>
      <x:c r="L74" s="1"/>
    </x:row>
    <x:row r="75" ht="22" customHeight="1">
      <x:c r="A75" s="8" t="n">
        <x:v>137</x:v>
      </x:c>
      <x:c r="B75" s="6" t="n">
        <x:v>44950</x:v>
      </x:c>
      <x:c r="C75" s="2" t="str">
        <x:v>Электроника</x:v>
      </x:c>
      <x:c r="D75" s="2" t="str">
        <x:v>Ноутбук</x:v>
      </x:c>
      <x:c r="E75" s="7" t="n">
        <x:v>105994.73</x:v>
      </x:c>
      <x:c r="F75" s="9" t="n">
        <x:v>5</x:v>
      </x:c>
      <x:c r="G75" s="2" t="str">
        <x:v>Санкт‑Петербург</x:v>
      </x:c>
      <x:c r="H75" s="7" t="n">
        <x:f>E75*F75</x:f>
        <x:v>529973.65</x:v>
      </x:c>
      <x:c r="I75" s="2" t="str">
        <x:f>TEXT(B75,"yyyy-mm")</x:f>
        <x:v>2023-01</x:v>
      </x:c>
      <x:c r="J75" s="8" t="n">
        <x:f>COUNTIFS($H$2:$H$1201,"&gt;"&amp;H75)+COUNTIFS($H$2:H75,H75)</x:f>
        <x:v>385</x:v>
      </x:c>
      <x:c r="K75" s="1"/>
      <x:c r="L75" s="1"/>
    </x:row>
    <x:row r="76" ht="22" customHeight="1">
      <x:c r="A76" s="8" t="n">
        <x:v>471</x:v>
      </x:c>
      <x:c r="B76" s="6" t="n">
        <x:v>44950</x:v>
      </x:c>
      <x:c r="C76" s="2" t="str">
        <x:v>Электроника</x:v>
      </x:c>
      <x:c r="D76" s="2" t="str">
        <x:v>Ноутбук</x:v>
      </x:c>
      <x:c r="E76" s="7" t="n">
        <x:v>144793.75</x:v>
      </x:c>
      <x:c r="F76" s="9" t="n">
        <x:v>5</x:v>
      </x:c>
      <x:c r="G76" s="2" t="str">
        <x:v>Москва</x:v>
      </x:c>
      <x:c r="H76" s="7" t="n">
        <x:f>E76*F76</x:f>
        <x:v>723968.75</x:v>
      </x:c>
      <x:c r="I76" s="2" t="str">
        <x:f>TEXT(B76,"yyyy-mm")</x:f>
        <x:v>2023-01</x:v>
      </x:c>
      <x:c r="J76" s="8" t="n">
        <x:f>COUNTIFS($H$2:$H$1201,"&gt;"&amp;H76)+COUNTIFS($H$2:H76,H76)</x:f>
        <x:v>247</x:v>
      </x:c>
      <x:c r="K76" s="1"/>
      <x:c r="L76" s="1"/>
    </x:row>
    <x:row r="77" ht="22" customHeight="1">
      <x:c r="A77" s="8" t="n">
        <x:v>258</x:v>
      </x:c>
      <x:c r="B77" s="6" t="n">
        <x:v>44951</x:v>
      </x:c>
      <x:c r="C77" s="2" t="str">
        <x:v>Одежда</x:v>
      </x:c>
      <x:c r="D77" s="2" t="str">
        <x:v>Футболка</x:v>
      </x:c>
      <x:c r="E77" s="7" t="n">
        <x:v>81503.88</x:v>
      </x:c>
      <x:c r="F77" s="9" t="n">
        <x:v>9</x:v>
      </x:c>
      <x:c r="G77" s="2" t="str">
        <x:v>Москва</x:v>
      </x:c>
      <x:c r="H77" s="7" t="n">
        <x:f>E77*F77</x:f>
        <x:v>733534.92</x:v>
      </x:c>
      <x:c r="I77" s="2" t="str">
        <x:f>TEXT(B77,"yyyy-mm")</x:f>
        <x:v>2023-01</x:v>
      </x:c>
      <x:c r="J77" s="8" t="n">
        <x:f>COUNTIFS($H$2:$H$1201,"&gt;"&amp;H77)+COUNTIFS($H$2:H77,H77)</x:f>
        <x:v>238</x:v>
      </x:c>
      <x:c r="K77" s="1"/>
      <x:c r="L77" s="1"/>
    </x:row>
    <x:row r="78" ht="22" customHeight="1">
      <x:c r="A78" s="8" t="n">
        <x:v>220</x:v>
      </x:c>
      <x:c r="B78" s="6" t="n">
        <x:v>44952</x:v>
      </x:c>
      <x:c r="C78" s="2" t="str">
        <x:v>Продукты</x:v>
      </x:c>
      <x:c r="D78" s="2" t="str">
        <x:v>Кофе</x:v>
      </x:c>
      <x:c r="E78" s="7" t="n">
        <x:v>48197.6</x:v>
      </x:c>
      <x:c r="F78" s="9" t="n">
        <x:v>3</x:v>
      </x:c>
      <x:c r="G78" s="2" t="str">
        <x:v>Казань</x:v>
      </x:c>
      <x:c r="H78" s="7" t="n">
        <x:f>E78*F78</x:f>
        <x:v>144592.8</x:v>
      </x:c>
      <x:c r="I78" s="2" t="str">
        <x:f>TEXT(B78,"yyyy-mm")</x:f>
        <x:v>2023-01</x:v>
      </x:c>
      <x:c r="J78" s="8" t="n">
        <x:f>COUNTIFS($H$2:$H$1201,"&gt;"&amp;H78)+COUNTIFS($H$2:H78,H78)</x:f>
        <x:v>866</x:v>
      </x:c>
      <x:c r="K78" s="1"/>
      <x:c r="L78" s="1"/>
    </x:row>
    <x:row r="79" ht="22" customHeight="1">
      <x:c r="A79" s="8" t="n">
        <x:v>286</x:v>
      </x:c>
      <x:c r="B79" s="6" t="n">
        <x:v>44952</x:v>
      </x:c>
      <x:c r="C79" s="2" t="str">
        <x:v>Товары для дома</x:v>
      </x:c>
      <x:c r="D79" s="2" t="str">
        <x:v>Кружка</x:v>
      </x:c>
      <x:c r="E79" s="7" t="n">
        <x:v>53247.42</x:v>
      </x:c>
      <x:c r="F79" s="9" t="n">
        <x:v>6</x:v>
      </x:c>
      <x:c r="G79" s="2" t="str">
        <x:v>Новосибирск</x:v>
      </x:c>
      <x:c r="H79" s="7" t="n">
        <x:f>E79*F79</x:f>
        <x:v>319484.52</x:v>
      </x:c>
      <x:c r="I79" s="2" t="str">
        <x:f>TEXT(B79,"yyyy-mm")</x:f>
        <x:v>2023-01</x:v>
      </x:c>
      <x:c r="J79" s="8" t="n">
        <x:f>COUNTIFS($H$2:$H$1201,"&gt;"&amp;H79)+COUNTIFS($H$2:H79,H79)</x:f>
        <x:v>615</x:v>
      </x:c>
      <x:c r="K79" s="1"/>
      <x:c r="L79" s="1"/>
    </x:row>
    <x:row r="80" ht="22" customHeight="1">
      <x:c r="A80" s="8" t="n">
        <x:v>635</x:v>
      </x:c>
      <x:c r="B80" s="6" t="n">
        <x:v>44952</x:v>
      </x:c>
      <x:c r="C80" s="2" t="str">
        <x:v>Электроника</x:v>
      </x:c>
      <x:c r="D80" s="2" t="str">
        <x:v>Ноутбук</x:v>
      </x:c>
      <x:c r="E80" s="7" t="n">
        <x:v>6329.17</x:v>
      </x:c>
      <x:c r="F80" s="9" t="n">
        <x:v>7</x:v>
      </x:c>
      <x:c r="G80" s="2" t="str">
        <x:v>Московская область</x:v>
      </x:c>
      <x:c r="H80" s="7" t="n">
        <x:f>E80*F80</x:f>
        <x:v>44304.19</x:v>
      </x:c>
      <x:c r="I80" s="2" t="str">
        <x:f>TEXT(B80,"yyyy-mm")</x:f>
        <x:v>2023-01</x:v>
      </x:c>
      <x:c r="J80" s="8" t="n">
        <x:f>COUNTIFS($H$2:$H$1201,"&gt;"&amp;H80)+COUNTIFS($H$2:H80,H80)</x:f>
        <x:v>1098</x:v>
      </x:c>
      <x:c r="K80" s="1"/>
      <x:c r="L80" s="1"/>
    </x:row>
    <x:row r="81" ht="22" customHeight="1">
      <x:c r="A81" s="8" t="n">
        <x:v>1106</x:v>
      </x:c>
      <x:c r="B81" s="6" t="n">
        <x:v>44952</x:v>
      </x:c>
      <x:c r="C81" s="2" t="str">
        <x:v>Продукты</x:v>
      </x:c>
      <x:c r="D81" s="2" t="str">
        <x:v>Хлеб</x:v>
      </x:c>
      <x:c r="E81" s="7" t="n">
        <x:v>27803.03</x:v>
      </x:c>
      <x:c r="F81" s="9" t="n">
        <x:v>6</x:v>
      </x:c>
      <x:c r="G81" s="2" t="str">
        <x:v>Санкт‑Петербург</x:v>
      </x:c>
      <x:c r="H81" s="7" t="n">
        <x:f>E81*F81</x:f>
        <x:v>166818.18</x:v>
      </x:c>
      <x:c r="I81" s="2" t="str">
        <x:f>TEXT(B81,"yyyy-mm")</x:f>
        <x:v>2023-01</x:v>
      </x:c>
      <x:c r="J81" s="8" t="n">
        <x:f>COUNTIFS($H$2:$H$1201,"&gt;"&amp;H81)+COUNTIFS($H$2:H81,H81)</x:f>
        <x:v>829</x:v>
      </x:c>
      <x:c r="K81" s="1"/>
      <x:c r="L81" s="1"/>
    </x:row>
    <x:row r="82" ht="22" customHeight="1">
      <x:c r="A82" s="8" t="n">
        <x:v>301</x:v>
      </x:c>
      <x:c r="B82" s="6" t="n">
        <x:v>44953</x:v>
      </x:c>
      <x:c r="C82" s="2" t="str">
        <x:v>Продукты</x:v>
      </x:c>
      <x:c r="D82" s="2" t="str">
        <x:v>Хлеб</x:v>
      </x:c>
      <x:c r="E82" s="7" t="n">
        <x:v>66204.88</x:v>
      </x:c>
      <x:c r="F82" s="9" t="n">
        <x:v>7</x:v>
      </x:c>
      <x:c r="G82" s="2" t="str">
        <x:v>Москва</x:v>
      </x:c>
      <x:c r="H82" s="7" t="n">
        <x:f>E82*F82</x:f>
        <x:v>463434.16000000003</x:v>
      </x:c>
      <x:c r="I82" s="2" t="str">
        <x:f>TEXT(B82,"yyyy-mm")</x:f>
        <x:v>2023-01</x:v>
      </x:c>
      <x:c r="J82" s="8" t="n">
        <x:f>COUNTIFS($H$2:$H$1201,"&gt;"&amp;H82)+COUNTIFS($H$2:H82,H82)</x:f>
        <x:v>438</x:v>
      </x:c>
      <x:c r="K82" s="1"/>
      <x:c r="L82" s="1"/>
    </x:row>
    <x:row r="83" ht="22" customHeight="1">
      <x:c r="A83" s="8" t="n">
        <x:v>510</x:v>
      </x:c>
      <x:c r="B83" s="6" t="n">
        <x:v>44953</x:v>
      </x:c>
      <x:c r="C83" s="2" t="str">
        <x:v>Электроника</x:v>
      </x:c>
      <x:c r="D83" s="2" t="str">
        <x:v>Ноутбук</x:v>
      </x:c>
      <x:c r="E83" s="7" t="n">
        <x:v>87262.75</x:v>
      </x:c>
      <x:c r="F83" s="9" t="n">
        <x:v>3</x:v>
      </x:c>
      <x:c r="G83" s="2" t="str">
        <x:v>Екатеринбург</x:v>
      </x:c>
      <x:c r="H83" s="7" t="n">
        <x:f>E83*F83</x:f>
        <x:v>261788.25</x:v>
      </x:c>
      <x:c r="I83" s="2" t="str">
        <x:f>TEXT(B83,"yyyy-mm")</x:f>
        <x:v>2023-01</x:v>
      </x:c>
      <x:c r="J83" s="8" t="n">
        <x:f>COUNTIFS($H$2:$H$1201,"&gt;"&amp;H83)+COUNTIFS($H$2:H83,H83)</x:f>
        <x:v>683</x:v>
      </x:c>
      <x:c r="K83" s="1"/>
      <x:c r="L83" s="1"/>
    </x:row>
    <x:row r="84" ht="22" customHeight="1">
      <x:c r="A84" s="8" t="n">
        <x:v>615</x:v>
      </x:c>
      <x:c r="B84" s="6" t="n">
        <x:v>44953</x:v>
      </x:c>
      <x:c r="C84" s="2" t="str">
        <x:v>Товары для дома</x:v>
      </x:c>
      <x:c r="D84" s="2" t="str">
        <x:v>Подушка</x:v>
      </x:c>
      <x:c r="E84" s="7" t="n">
        <x:v>110708.27</x:v>
      </x:c>
      <x:c r="F84" s="9" t="n">
        <x:v>4</x:v>
      </x:c>
      <x:c r="G84" s="2" t="str">
        <x:v>Екатеринбург</x:v>
      </x:c>
      <x:c r="H84" s="7" t="n">
        <x:f>E84*F84</x:f>
        <x:v>442833.08</x:v>
      </x:c>
      <x:c r="I84" s="2" t="str">
        <x:f>TEXT(B84,"yyyy-mm")</x:f>
        <x:v>2023-01</x:v>
      </x:c>
      <x:c r="J84" s="8" t="n">
        <x:f>COUNTIFS($H$2:$H$1201,"&gt;"&amp;H84)+COUNTIFS($H$2:H84,H84)</x:f>
        <x:v>462</x:v>
      </x:c>
      <x:c r="K84" s="1"/>
      <x:c r="L84" s="1"/>
    </x:row>
    <x:row r="85" ht="22" customHeight="1">
      <x:c r="A85" s="8" t="n">
        <x:v>690</x:v>
      </x:c>
      <x:c r="B85" s="6" t="n">
        <x:v>44953</x:v>
      </x:c>
      <x:c r="C85" s="2" t="str">
        <x:v>Товары для дома</x:v>
      </x:c>
      <x:c r="D85" s="2" t="str">
        <x:v>Плед</x:v>
      </x:c>
      <x:c r="E85" s="7" t="n">
        <x:v>89791.77</x:v>
      </x:c>
      <x:c r="F85" s="9" t="n">
        <x:v>1</x:v>
      </x:c>
      <x:c r="G85" s="2" t="str">
        <x:v>Новосибирск</x:v>
      </x:c>
      <x:c r="H85" s="7" t="n">
        <x:f>E85*F85</x:f>
        <x:v>89791.77</x:v>
      </x:c>
      <x:c r="I85" s="2" t="str">
        <x:f>TEXT(B85,"yyyy-mm")</x:f>
        <x:v>2023-01</x:v>
      </x:c>
      <x:c r="J85" s="8" t="n">
        <x:f>COUNTIFS($H$2:$H$1201,"&gt;"&amp;H85)+COUNTIFS($H$2:H85,H85)</x:f>
        <x:v>992</x:v>
      </x:c>
      <x:c r="K85" s="1"/>
      <x:c r="L85" s="1"/>
    </x:row>
    <x:row r="86" ht="22" customHeight="1">
      <x:c r="A86" s="8" t="n">
        <x:v>21</x:v>
      </x:c>
      <x:c r="B86" s="6" t="n">
        <x:v>44955</x:v>
      </x:c>
      <x:c r="C86" s="2" t="str">
        <x:v>Электроника</x:v>
      </x:c>
      <x:c r="D86" s="2" t="str">
        <x:v>Планшет</x:v>
      </x:c>
      <x:c r="E86" s="7" t="n">
        <x:v>71727.86</x:v>
      </x:c>
      <x:c r="F86" s="9" t="n">
        <x:v>8</x:v>
      </x:c>
      <x:c r="G86" s="2" t="str">
        <x:v>Екатеринбург</x:v>
      </x:c>
      <x:c r="H86" s="7" t="n">
        <x:f>E86*F86</x:f>
        <x:v>573822.88</x:v>
      </x:c>
      <x:c r="I86" s="2" t="str">
        <x:f>TEXT(B86,"yyyy-mm")</x:f>
        <x:v>2023-01</x:v>
      </x:c>
      <x:c r="J86" s="8" t="n">
        <x:f>COUNTIFS($H$2:$H$1201,"&gt;"&amp;H86)+COUNTIFS($H$2:H86,H86)</x:f>
        <x:v>341</x:v>
      </x:c>
      <x:c r="K86" s="1"/>
      <x:c r="L86" s="1"/>
    </x:row>
    <x:row r="87" ht="22" customHeight="1">
      <x:c r="A87" s="8" t="n">
        <x:v>905</x:v>
      </x:c>
      <x:c r="B87" s="6" t="n">
        <x:v>44955</x:v>
      </x:c>
      <x:c r="C87" s="2" t="str">
        <x:v>Электроника</x:v>
      </x:c>
      <x:c r="D87" s="2" t="str">
        <x:v>Планшет</x:v>
      </x:c>
      <x:c r="E87" s="7" t="n">
        <x:v>112317.5</x:v>
      </x:c>
      <x:c r="F87" s="9" t="n">
        <x:v>9</x:v>
      </x:c>
      <x:c r="G87" s="2" t="str">
        <x:v>Москва</x:v>
      </x:c>
      <x:c r="H87" s="7" t="n">
        <x:f>E87*F87</x:f>
        <x:v>1010857.5</x:v>
      </x:c>
      <x:c r="I87" s="2" t="str">
        <x:f>TEXT(B87,"yyyy-mm")</x:f>
        <x:v>2023-01</x:v>
      </x:c>
      <x:c r="J87" s="8" t="n">
        <x:f>COUNTIFS($H$2:$H$1201,"&gt;"&amp;H87)+COUNTIFS($H$2:H87,H87)</x:f>
        <x:v>87</x:v>
      </x:c>
      <x:c r="K87" s="1"/>
      <x:c r="L87" s="1"/>
    </x:row>
    <x:row r="88" ht="22" customHeight="1">
      <x:c r="A88" s="8" t="n">
        <x:v>35</x:v>
      </x:c>
      <x:c r="B88" s="6" t="n">
        <x:v>44956</x:v>
      </x:c>
      <x:c r="C88" s="2" t="str">
        <x:v>Одежда</x:v>
      </x:c>
      <x:c r="D88" s="2" t="str">
        <x:v>Футболка</x:v>
      </x:c>
      <x:c r="E88" s="7" t="n">
        <x:v>120565.57</x:v>
      </x:c>
      <x:c r="F88" s="9" t="n">
        <x:v>2</x:v>
      </x:c>
      <x:c r="G88" s="2" t="str">
        <x:v>Московская область</x:v>
      </x:c>
      <x:c r="H88" s="7" t="n">
        <x:f>E88*F88</x:f>
        <x:v>241131.14</x:v>
      </x:c>
      <x:c r="I88" s="2" t="str">
        <x:f>TEXT(B88,"yyyy-mm")</x:f>
        <x:v>2023-01</x:v>
      </x:c>
      <x:c r="J88" s="8" t="n">
        <x:f>COUNTIFS($H$2:$H$1201,"&gt;"&amp;H88)+COUNTIFS($H$2:H88,H88)</x:f>
        <x:v>718</x:v>
      </x:c>
      <x:c r="K88" s="1"/>
      <x:c r="L88" s="1"/>
    </x:row>
    <x:row r="89" ht="22" customHeight="1">
      <x:c r="A89" s="8" t="n">
        <x:v>623</x:v>
      </x:c>
      <x:c r="B89" s="6" t="n">
        <x:v>44956</x:v>
      </x:c>
      <x:c r="C89" s="2" t="str">
        <x:v>Электроника</x:v>
      </x:c>
      <x:c r="D89" s="2" t="str">
        <x:v>Ноутбук</x:v>
      </x:c>
      <x:c r="E89" s="7" t="n">
        <x:v>83234.86</x:v>
      </x:c>
      <x:c r="F89" s="9" t="n">
        <x:v>7</x:v>
      </x:c>
      <x:c r="G89" s="2" t="str">
        <x:v>Новосибирск</x:v>
      </x:c>
      <x:c r="H89" s="7" t="n">
        <x:f>E89*F89</x:f>
        <x:v>582644.02</x:v>
      </x:c>
      <x:c r="I89" s="2" t="str">
        <x:f>TEXT(B89,"yyyy-mm")</x:f>
        <x:v>2023-01</x:v>
      </x:c>
      <x:c r="J89" s="8" t="n">
        <x:f>COUNTIFS($H$2:$H$1201,"&gt;"&amp;H89)+COUNTIFS($H$2:H89,H89)</x:f>
        <x:v>331</x:v>
      </x:c>
      <x:c r="K89" s="1"/>
      <x:c r="L89" s="1"/>
    </x:row>
    <x:row r="90" ht="22" customHeight="1">
      <x:c r="A90" s="8" t="n">
        <x:v>759</x:v>
      </x:c>
      <x:c r="B90" s="6" t="n">
        <x:v>44956</x:v>
      </x:c>
      <x:c r="C90" s="2" t="str">
        <x:v>Товары для дома</x:v>
      </x:c>
      <x:c r="D90" s="2" t="str">
        <x:v>Кружка</x:v>
      </x:c>
      <x:c r="E90" s="7" t="n">
        <x:v>90308.87</x:v>
      </x:c>
      <x:c r="F90" s="9" t="n">
        <x:v>4</x:v>
      </x:c>
      <x:c r="G90" s="2" t="str">
        <x:v>Московская область</x:v>
      </x:c>
      <x:c r="H90" s="7" t="n">
        <x:f>E90*F90</x:f>
        <x:v>361235.48</x:v>
      </x:c>
      <x:c r="I90" s="2" t="str">
        <x:f>TEXT(B90,"yyyy-mm")</x:f>
        <x:v>2023-01</x:v>
      </x:c>
      <x:c r="J90" s="8" t="n">
        <x:f>COUNTIFS($H$2:$H$1201,"&gt;"&amp;H90)+COUNTIFS($H$2:H90,H90)</x:f>
        <x:v>572</x:v>
      </x:c>
      <x:c r="K90" s="1"/>
      <x:c r="L90" s="1"/>
    </x:row>
    <x:row r="91" ht="22" customHeight="1">
      <x:c r="A91" s="8" t="n">
        <x:v>87</x:v>
      </x:c>
      <x:c r="B91" s="6" t="n">
        <x:v>44957</x:v>
      </x:c>
      <x:c r="C91" s="2" t="str">
        <x:v>Электроника</x:v>
      </x:c>
      <x:c r="D91" s="2" t="str">
        <x:v>Наушники</x:v>
      </x:c>
      <x:c r="E91" s="7" t="n">
        <x:v>75128.83</x:v>
      </x:c>
      <x:c r="F91" s="9" t="n">
        <x:v>2</x:v>
      </x:c>
      <x:c r="G91" s="2" t="str">
        <x:v>Казань</x:v>
      </x:c>
      <x:c r="H91" s="7" t="n">
        <x:f>E91*F91</x:f>
        <x:v>150257.66</x:v>
      </x:c>
      <x:c r="I91" s="2" t="str">
        <x:f>TEXT(B91,"yyyy-mm")</x:f>
        <x:v>2023-01</x:v>
      </x:c>
      <x:c r="J91" s="8" t="n">
        <x:f>COUNTIFS($H$2:$H$1201,"&gt;"&amp;H91)+COUNTIFS($H$2:H91,H91)</x:f>
        <x:v>852</x:v>
      </x:c>
      <x:c r="K91" s="1"/>
      <x:c r="L91" s="1"/>
    </x:row>
    <x:row r="92" ht="22" customHeight="1">
      <x:c r="A92" s="8" t="n">
        <x:v>88</x:v>
      </x:c>
      <x:c r="B92" s="6" t="n">
        <x:v>44957</x:v>
      </x:c>
      <x:c r="C92" s="2" t="str">
        <x:v>Товары для дома</x:v>
      </x:c>
      <x:c r="D92" s="2" t="str">
        <x:v>Кружка</x:v>
      </x:c>
      <x:c r="E92" s="7" t="n">
        <x:v>125471.42</x:v>
      </x:c>
      <x:c r="F92" s="9" t="n">
        <x:v>10</x:v>
      </x:c>
      <x:c r="G92" s="2" t="str">
        <x:v>Новосибирск</x:v>
      </x:c>
      <x:c r="H92" s="7" t="n">
        <x:f>E92*F92</x:f>
        <x:v>1254714.2</x:v>
      </x:c>
      <x:c r="I92" s="2" t="str">
        <x:f>TEXT(B92,"yyyy-mm")</x:f>
        <x:v>2023-01</x:v>
      </x:c>
      <x:c r="J92" s="8" t="n">
        <x:f>COUNTIFS($H$2:$H$1201,"&gt;"&amp;H92)+COUNTIFS($H$2:H92,H92)</x:f>
        <x:v>26</x:v>
      </x:c>
      <x:c r="K92" s="1"/>
      <x:c r="L92" s="1"/>
    </x:row>
    <x:row r="93" ht="22" customHeight="1">
      <x:c r="A93" s="8" t="n">
        <x:v>519</x:v>
      </x:c>
      <x:c r="B93" s="6" t="n">
        <x:v>44957</x:v>
      </x:c>
      <x:c r="C93" s="2" t="str">
        <x:v>Товары для дома</x:v>
      </x:c>
      <x:c r="D93" s="2" t="str">
        <x:v>Плед</x:v>
      </x:c>
      <x:c r="E93" s="7" t="n">
        <x:v>138861.97</x:v>
      </x:c>
      <x:c r="F93" s="9" t="n">
        <x:v>6</x:v>
      </x:c>
      <x:c r="G93" s="2" t="str">
        <x:v>Москва</x:v>
      </x:c>
      <x:c r="H93" s="7" t="n">
        <x:f>E93*F93</x:f>
        <x:v>833171.8200000001</x:v>
      </x:c>
      <x:c r="I93" s="2" t="str">
        <x:f>TEXT(B93,"yyyy-mm")</x:f>
        <x:v>2023-01</x:v>
      </x:c>
      <x:c r="J93" s="8" t="n">
        <x:f>COUNTIFS($H$2:$H$1201,"&gt;"&amp;H93)+COUNTIFS($H$2:H93,H93)</x:f>
        <x:v>176</x:v>
      </x:c>
      <x:c r="K93" s="1"/>
      <x:c r="L93" s="1"/>
    </x:row>
    <x:row r="94" ht="22" customHeight="1">
      <x:c r="A94" s="8" t="n">
        <x:v>691</x:v>
      </x:c>
      <x:c r="B94" s="6" t="n">
        <x:v>44957</x:v>
      </x:c>
      <x:c r="C94" s="2" t="str">
        <x:v>Одежда</x:v>
      </x:c>
      <x:c r="D94" s="2" t="str">
        <x:v>Кроссовки</x:v>
      </x:c>
      <x:c r="E94" s="7" t="n">
        <x:v>112502.92</x:v>
      </x:c>
      <x:c r="F94" s="9" t="n">
        <x:v>1</x:v>
      </x:c>
      <x:c r="G94" s="2" t="str">
        <x:v>Московская область</x:v>
      </x:c>
      <x:c r="H94" s="7" t="n">
        <x:f>E94*F94</x:f>
        <x:v>112502.92</x:v>
      </x:c>
      <x:c r="I94" s="2" t="str">
        <x:f>TEXT(B94,"yyyy-mm")</x:f>
        <x:v>2023-01</x:v>
      </x:c>
      <x:c r="J94" s="8" t="n">
        <x:f>COUNTIFS($H$2:$H$1201,"&gt;"&amp;H94)+COUNTIFS($H$2:H94,H94)</x:f>
        <x:v>943</x:v>
      </x:c>
      <x:c r="K94" s="1"/>
      <x:c r="L94" s="1"/>
    </x:row>
    <x:row r="95" ht="22" customHeight="1">
      <x:c r="A95" s="8" t="n">
        <x:v>857</x:v>
      </x:c>
      <x:c r="B95" s="6" t="n">
        <x:v>44957</x:v>
      </x:c>
      <x:c r="C95" s="2" t="str">
        <x:v>Электроника</x:v>
      </x:c>
      <x:c r="D95" s="2" t="str">
        <x:v>Наушники</x:v>
      </x:c>
      <x:c r="E95" s="7" t="n">
        <x:v>130284.3</x:v>
      </x:c>
      <x:c r="F95" s="9" t="n">
        <x:v>6</x:v>
      </x:c>
      <x:c r="G95" s="2" t="str">
        <x:v>Московская область</x:v>
      </x:c>
      <x:c r="H95" s="7" t="n">
        <x:f>E95*F95</x:f>
        <x:v>781705.8</x:v>
      </x:c>
      <x:c r="I95" s="2" t="str">
        <x:f>TEXT(B95,"yyyy-mm")</x:f>
        <x:v>2023-01</x:v>
      </x:c>
      <x:c r="J95" s="8" t="n">
        <x:f>COUNTIFS($H$2:$H$1201,"&gt;"&amp;H95)+COUNTIFS($H$2:H95,H95)</x:f>
        <x:v>204</x:v>
      </x:c>
      <x:c r="K95" s="1"/>
      <x:c r="L95" s="1"/>
    </x:row>
    <x:row r="96" ht="22" customHeight="1">
      <x:c r="A96" s="8" t="n">
        <x:v>1000</x:v>
      </x:c>
      <x:c r="B96" s="6" t="n">
        <x:v>44957</x:v>
      </x:c>
      <x:c r="C96" s="2" t="str">
        <x:v>Продукты</x:v>
      </x:c>
      <x:c r="D96" s="2" t="str">
        <x:v>Хлеб</x:v>
      </x:c>
      <x:c r="E96" s="7" t="n">
        <x:v>108736.5</x:v>
      </x:c>
      <x:c r="F96" s="9" t="n">
        <x:v>6</x:v>
      </x:c>
      <x:c r="G96" s="2" t="str">
        <x:v>Екатеринбург</x:v>
      </x:c>
      <x:c r="H96" s="7" t="n">
        <x:f>E96*F96</x:f>
        <x:v>652419</x:v>
      </x:c>
      <x:c r="I96" s="2" t="str">
        <x:f>TEXT(B96,"yyyy-mm")</x:f>
        <x:v>2023-01</x:v>
      </x:c>
      <x:c r="J96" s="8" t="n">
        <x:f>COUNTIFS($H$2:$H$1201,"&gt;"&amp;H96)+COUNTIFS($H$2:H96,H96)</x:f>
        <x:v>294</x:v>
      </x:c>
      <x:c r="K96" s="1"/>
      <x:c r="L96" s="1"/>
    </x:row>
    <x:row r="97" ht="22" customHeight="1">
      <x:c r="A97" s="8" t="n">
        <x:v>1035</x:v>
      </x:c>
      <x:c r="B97" s="6" t="n">
        <x:v>44957</x:v>
      </x:c>
      <x:c r="C97" s="2" t="str">
        <x:v>Товары для дома</x:v>
      </x:c>
      <x:c r="D97" s="2" t="str">
        <x:v>Полотенце</x:v>
      </x:c>
      <x:c r="E97" s="7" t="n">
        <x:v>139022.04</x:v>
      </x:c>
      <x:c r="F97" s="9" t="n">
        <x:v>6</x:v>
      </x:c>
      <x:c r="G97" s="2" t="str">
        <x:v>Москва</x:v>
      </x:c>
      <x:c r="H97" s="7" t="n">
        <x:f>E97*F97</x:f>
        <x:v>834132.24</x:v>
      </x:c>
      <x:c r="I97" s="2" t="str">
        <x:f>TEXT(B97,"yyyy-mm")</x:f>
        <x:v>2023-01</x:v>
      </x:c>
      <x:c r="J97" s="8" t="n">
        <x:f>COUNTIFS($H$2:$H$1201,"&gt;"&amp;H97)+COUNTIFS($H$2:H97,H97)</x:f>
        <x:v>175</x:v>
      </x:c>
      <x:c r="K97" s="1"/>
      <x:c r="L97" s="1"/>
    </x:row>
    <x:row r="98" ht="22" customHeight="1">
      <x:c r="A98" s="8" t="n">
        <x:v>487</x:v>
      </x:c>
      <x:c r="B98" s="6" t="n">
        <x:v>44958</x:v>
      </x:c>
      <x:c r="C98" s="2" t="str">
        <x:v>Продукты</x:v>
      </x:c>
      <x:c r="D98" s="2" t="str">
        <x:v>Шоколад</x:v>
      </x:c>
      <x:c r="E98" s="7" t="n">
        <x:v>93807.13</x:v>
      </x:c>
      <x:c r="F98" s="9" t="n">
        <x:v>5</x:v>
      </x:c>
      <x:c r="G98" s="2" t="str">
        <x:v>Новосибирск</x:v>
      </x:c>
      <x:c r="H98" s="7" t="n">
        <x:f>E98*F98</x:f>
        <x:v>469035.65</x:v>
      </x:c>
      <x:c r="I98" s="2" t="str">
        <x:f>TEXT(B98,"yyyy-mm")</x:f>
        <x:v>2023-02</x:v>
      </x:c>
      <x:c r="J98" s="8" t="n">
        <x:f>COUNTIFS($H$2:$H$1201,"&gt;"&amp;H98)+COUNTIFS($H$2:H98,H98)</x:f>
        <x:v>435</x:v>
      </x:c>
      <x:c r="K98" s="1"/>
      <x:c r="L98" s="1"/>
    </x:row>
    <x:row r="99" ht="22" customHeight="1">
      <x:c r="A99" s="8" t="n">
        <x:v>1150</x:v>
      </x:c>
      <x:c r="B99" s="6" t="n">
        <x:v>44958</x:v>
      </x:c>
      <x:c r="C99" s="2" t="str">
        <x:v>Продукты</x:v>
      </x:c>
      <x:c r="D99" s="2" t="str">
        <x:v>Кофе</x:v>
      </x:c>
      <x:c r="E99" s="7" t="n">
        <x:v>2272.32</x:v>
      </x:c>
      <x:c r="F99" s="9" t="n">
        <x:v>7</x:v>
      </x:c>
      <x:c r="G99" s="2" t="str">
        <x:v>Москва</x:v>
      </x:c>
      <x:c r="H99" s="7" t="n">
        <x:f>E99*F99</x:f>
        <x:v>15906.240000000002</x:v>
      </x:c>
      <x:c r="I99" s="2" t="str">
        <x:f>TEXT(B99,"yyyy-mm")</x:f>
        <x:v>2023-02</x:v>
      </x:c>
      <x:c r="J99" s="8" t="n">
        <x:f>COUNTIFS($H$2:$H$1201,"&gt;"&amp;H99)+COUNTIFS($H$2:H99,H99)</x:f>
        <x:v>1165</x:v>
      </x:c>
      <x:c r="K99" s="1"/>
      <x:c r="L99" s="1"/>
    </x:row>
    <x:row r="100" ht="22" customHeight="1">
      <x:c r="A100" s="8" t="n">
        <x:v>256</x:v>
      </x:c>
      <x:c r="B100" s="6" t="n">
        <x:v>44959</x:v>
      </x:c>
      <x:c r="C100" s="2" t="str">
        <x:v>Одежда</x:v>
      </x:c>
      <x:c r="D100" s="2" t="str">
        <x:v>Джинсы</x:v>
      </x:c>
      <x:c r="E100" s="7" t="n">
        <x:v>60609.42</x:v>
      </x:c>
      <x:c r="F100" s="9" t="n">
        <x:v>9</x:v>
      </x:c>
      <x:c r="G100" s="2" t="str">
        <x:v>Новосибирск</x:v>
      </x:c>
      <x:c r="H100" s="7" t="n">
        <x:f>E100*F100</x:f>
        <x:v>545484.78</x:v>
      </x:c>
      <x:c r="I100" s="2" t="str">
        <x:f>TEXT(B100,"yyyy-mm")</x:f>
        <x:v>2023-02</x:v>
      </x:c>
      <x:c r="J100" s="8" t="n">
        <x:f>COUNTIFS($H$2:$H$1201,"&gt;"&amp;H100)+COUNTIFS($H$2:H100,H100)</x:f>
        <x:v>372</x:v>
      </x:c>
      <x:c r="K100" s="1"/>
      <x:c r="L100" s="1"/>
    </x:row>
    <x:row r="101" ht="22" customHeight="1">
      <x:c r="A101" s="8" t="n">
        <x:v>334</x:v>
      </x:c>
      <x:c r="B101" s="6" t="n">
        <x:v>44959</x:v>
      </x:c>
      <x:c r="C101" s="2" t="str">
        <x:v>Одежда</x:v>
      </x:c>
      <x:c r="D101" s="2" t="str">
        <x:v>Куртка</x:v>
      </x:c>
      <x:c r="E101" s="7" t="n">
        <x:v>36761.62</x:v>
      </x:c>
      <x:c r="F101" s="9" t="n">
        <x:v>6</x:v>
      </x:c>
      <x:c r="G101" s="2" t="str">
        <x:v>Казань</x:v>
      </x:c>
      <x:c r="H101" s="7" t="n">
        <x:f>E101*F101</x:f>
        <x:v>220569.72000000003</x:v>
      </x:c>
      <x:c r="I101" s="2" t="str">
        <x:f>TEXT(B101,"yyyy-mm")</x:f>
        <x:v>2023-02</x:v>
      </x:c>
      <x:c r="J101" s="8" t="n">
        <x:f>COUNTIFS($H$2:$H$1201,"&gt;"&amp;H101)+COUNTIFS($H$2:H101,H101)</x:f>
        <x:v>755</x:v>
      </x:c>
      <x:c r="K101" s="1"/>
      <x:c r="L101" s="1"/>
    </x:row>
    <x:row r="102" ht="22" customHeight="1">
      <x:c r="A102" s="8" t="n">
        <x:v>822</x:v>
      </x:c>
      <x:c r="B102" s="6" t="n">
        <x:v>44959</x:v>
      </x:c>
      <x:c r="C102" s="2" t="str">
        <x:v>Одежда</x:v>
      </x:c>
      <x:c r="D102" s="2" t="str">
        <x:v>Куртка</x:v>
      </x:c>
      <x:c r="E102" s="7" t="n">
        <x:v>84981.02</x:v>
      </x:c>
      <x:c r="F102" s="9" t="n">
        <x:v>7</x:v>
      </x:c>
      <x:c r="G102" s="2" t="str">
        <x:v>Екатеринбург</x:v>
      </x:c>
      <x:c r="H102" s="7" t="n">
        <x:f>E102*F102</x:f>
        <x:v>594867.14</x:v>
      </x:c>
      <x:c r="I102" s="2" t="str">
        <x:f>TEXT(B102,"yyyy-mm")</x:f>
        <x:v>2023-02</x:v>
      </x:c>
      <x:c r="J102" s="8" t="n">
        <x:f>COUNTIFS($H$2:$H$1201,"&gt;"&amp;H102)+COUNTIFS($H$2:H102,H102)</x:f>
        <x:v>323</x:v>
      </x:c>
      <x:c r="K102" s="1"/>
      <x:c r="L102" s="1"/>
    </x:row>
    <x:row r="103" ht="22" customHeight="1">
      <x:c r="A103" s="8" t="n">
        <x:v>1060</x:v>
      </x:c>
      <x:c r="B103" s="6" t="n">
        <x:v>44959</x:v>
      </x:c>
      <x:c r="C103" s="2" t="str">
        <x:v>Продукты</x:v>
      </x:c>
      <x:c r="D103" s="2" t="str">
        <x:v>Хлеб</x:v>
      </x:c>
      <x:c r="E103" s="7" t="n">
        <x:v>71784.27</x:v>
      </x:c>
      <x:c r="F103" s="9" t="n">
        <x:v>2</x:v>
      </x:c>
      <x:c r="G103" s="2" t="str">
        <x:v>Московская область</x:v>
      </x:c>
      <x:c r="H103" s="7" t="n">
        <x:f>E103*F103</x:f>
        <x:v>143568.54</x:v>
      </x:c>
      <x:c r="I103" s="2" t="str">
        <x:f>TEXT(B103,"yyyy-mm")</x:f>
        <x:v>2023-02</x:v>
      </x:c>
      <x:c r="J103" s="8" t="n">
        <x:f>COUNTIFS($H$2:$H$1201,"&gt;"&amp;H103)+COUNTIFS($H$2:H103,H103)</x:f>
        <x:v>870</x:v>
      </x:c>
      <x:c r="K103" s="1"/>
      <x:c r="L103" s="1"/>
    </x:row>
    <x:row r="104" ht="22" customHeight="1">
      <x:c r="A104" s="8" t="n">
        <x:v>1089</x:v>
      </x:c>
      <x:c r="B104" s="6" t="n">
        <x:v>44959</x:v>
      </x:c>
      <x:c r="C104" s="2" t="str">
        <x:v>Товары для дома</x:v>
      </x:c>
      <x:c r="D104" s="2" t="str">
        <x:v>Подушка</x:v>
      </x:c>
      <x:c r="E104" s="7" t="n">
        <x:v>126899.64</x:v>
      </x:c>
      <x:c r="F104" s="9" t="n">
        <x:v>9</x:v>
      </x:c>
      <x:c r="G104" s="2" t="str">
        <x:v>Санкт‑Петербург</x:v>
      </x:c>
      <x:c r="H104" s="7" t="n">
        <x:f>E104*F104</x:f>
        <x:v>1142096.76</x:v>
      </x:c>
      <x:c r="I104" s="2" t="str">
        <x:f>TEXT(B104,"yyyy-mm")</x:f>
        <x:v>2023-02</x:v>
      </x:c>
      <x:c r="J104" s="8" t="n">
        <x:f>COUNTIFS($H$2:$H$1201,"&gt;"&amp;H104)+COUNTIFS($H$2:H104,H104)</x:f>
        <x:v>50</x:v>
      </x:c>
      <x:c r="K104" s="1"/>
      <x:c r="L104" s="1"/>
    </x:row>
    <x:row r="105" ht="22" customHeight="1">
      <x:c r="A105" s="8" t="n">
        <x:v>944</x:v>
      </x:c>
      <x:c r="B105" s="6" t="n">
        <x:v>44960</x:v>
      </x:c>
      <x:c r="C105" s="2" t="str">
        <x:v>Одежда</x:v>
      </x:c>
      <x:c r="D105" s="2" t="str">
        <x:v>Куртка</x:v>
      </x:c>
      <x:c r="E105" s="7" t="n">
        <x:v>7203.63</x:v>
      </x:c>
      <x:c r="F105" s="9" t="n">
        <x:v>7</x:v>
      </x:c>
      <x:c r="G105" s="2" t="str">
        <x:v>Казань</x:v>
      </x:c>
      <x:c r="H105" s="7" t="n">
        <x:f>E105*F105</x:f>
        <x:v>50425.41</x:v>
      </x:c>
      <x:c r="I105" s="2" t="str">
        <x:f>TEXT(B105,"yyyy-mm")</x:f>
        <x:v>2023-02</x:v>
      </x:c>
      <x:c r="J105" s="8" t="n">
        <x:f>COUNTIFS($H$2:$H$1201,"&gt;"&amp;H105)+COUNTIFS($H$2:H105,H105)</x:f>
        <x:v>1085</x:v>
      </x:c>
      <x:c r="K105" s="1"/>
      <x:c r="L105" s="1"/>
    </x:row>
    <x:row r="106" ht="22" customHeight="1">
      <x:c r="A106" s="8" t="n">
        <x:v>56</x:v>
      </x:c>
      <x:c r="B106" s="6" t="n">
        <x:v>44961</x:v>
      </x:c>
      <x:c r="C106" s="2" t="str">
        <x:v>Продукты</x:v>
      </x:c>
      <x:c r="D106" s="2" t="str">
        <x:v>Кофе</x:v>
      </x:c>
      <x:c r="E106" s="7" t="n">
        <x:v>122370.3</x:v>
      </x:c>
      <x:c r="F106" s="9" t="n">
        <x:v>6</x:v>
      </x:c>
      <x:c r="G106" s="2" t="str">
        <x:v>Казань</x:v>
      </x:c>
      <x:c r="H106" s="7" t="n">
        <x:f>E106*F106</x:f>
        <x:v>734221.8</x:v>
      </x:c>
      <x:c r="I106" s="2" t="str">
        <x:f>TEXT(B106,"yyyy-mm")</x:f>
        <x:v>2023-02</x:v>
      </x:c>
      <x:c r="J106" s="8" t="n">
        <x:f>COUNTIFS($H$2:$H$1201,"&gt;"&amp;H106)+COUNTIFS($H$2:H106,H106)</x:f>
        <x:v>236</x:v>
      </x:c>
      <x:c r="K106" s="1"/>
      <x:c r="L106" s="1"/>
    </x:row>
    <x:row r="107" ht="22" customHeight="1">
      <x:c r="A107" s="8" t="n">
        <x:v>104</x:v>
      </x:c>
      <x:c r="B107" s="6" t="n">
        <x:v>44961</x:v>
      </x:c>
      <x:c r="C107" s="2" t="str">
        <x:v>Продукты</x:v>
      </x:c>
      <x:c r="D107" s="2" t="str">
        <x:v>Хлеб</x:v>
      </x:c>
      <x:c r="E107" s="7" t="n">
        <x:v>59735.72</x:v>
      </x:c>
      <x:c r="F107" s="9" t="n">
        <x:v>10</x:v>
      </x:c>
      <x:c r="G107" s="2" t="str">
        <x:v>Московская область</x:v>
      </x:c>
      <x:c r="H107" s="7" t="n">
        <x:f>E107*F107</x:f>
        <x:v>597357.2</x:v>
      </x:c>
      <x:c r="I107" s="2" t="str">
        <x:f>TEXT(B107,"yyyy-mm")</x:f>
        <x:v>2023-02</x:v>
      </x:c>
      <x:c r="J107" s="8" t="n">
        <x:f>COUNTIFS($H$2:$H$1201,"&gt;"&amp;H107)+COUNTIFS($H$2:H107,H107)</x:f>
        <x:v>318</x:v>
      </x:c>
      <x:c r="K107" s="1"/>
      <x:c r="L107" s="1"/>
    </x:row>
    <x:row r="108" ht="22" customHeight="1">
      <x:c r="A108" s="8" t="n">
        <x:v>325</x:v>
      </x:c>
      <x:c r="B108" s="6" t="n">
        <x:v>44961</x:v>
      </x:c>
      <x:c r="C108" s="2" t="str">
        <x:v>Одежда</x:v>
      </x:c>
      <x:c r="D108" s="2" t="str">
        <x:v>Кроссовки</x:v>
      </x:c>
      <x:c r="E108" s="7" t="n">
        <x:v>32735.81</x:v>
      </x:c>
      <x:c r="F108" s="9" t="n">
        <x:v>7</x:v>
      </x:c>
      <x:c r="G108" s="2" t="str">
        <x:v>Московская область</x:v>
      </x:c>
      <x:c r="H108" s="7" t="n">
        <x:f>E108*F108</x:f>
        <x:v>229150.67</x:v>
      </x:c>
      <x:c r="I108" s="2" t="str">
        <x:f>TEXT(B108,"yyyy-mm")</x:f>
        <x:v>2023-02</x:v>
      </x:c>
      <x:c r="J108" s="8" t="n">
        <x:f>COUNTIFS($H$2:$H$1201,"&gt;"&amp;H108)+COUNTIFS($H$2:H108,H108)</x:f>
        <x:v>737</x:v>
      </x:c>
      <x:c r="K108" s="1"/>
      <x:c r="L108" s="1"/>
    </x:row>
    <x:row r="109" ht="22" customHeight="1">
      <x:c r="A109" s="8" t="n">
        <x:v>360</x:v>
      </x:c>
      <x:c r="B109" s="6" t="n">
        <x:v>44961</x:v>
      </x:c>
      <x:c r="C109" s="2" t="str">
        <x:v>Товары для дома</x:v>
      </x:c>
      <x:c r="D109" s="2" t="str">
        <x:v>Плед</x:v>
      </x:c>
      <x:c r="E109" s="7" t="n">
        <x:v>113182.54</x:v>
      </x:c>
      <x:c r="F109" s="9" t="n">
        <x:v>6</x:v>
      </x:c>
      <x:c r="G109" s="2" t="str">
        <x:v>Казань</x:v>
      </x:c>
      <x:c r="H109" s="7" t="n">
        <x:f>E109*F109</x:f>
        <x:v>679095.24</x:v>
      </x:c>
      <x:c r="I109" s="2" t="str">
        <x:f>TEXT(B109,"yyyy-mm")</x:f>
        <x:v>2023-02</x:v>
      </x:c>
      <x:c r="J109" s="8" t="n">
        <x:f>COUNTIFS($H$2:$H$1201,"&gt;"&amp;H109)+COUNTIFS($H$2:H109,H109)</x:f>
        <x:v>280</x:v>
      </x:c>
      <x:c r="K109" s="1"/>
      <x:c r="L109" s="1"/>
    </x:row>
    <x:row r="110" ht="22" customHeight="1">
      <x:c r="A110" s="8" t="n">
        <x:v>637</x:v>
      </x:c>
      <x:c r="B110" s="6" t="n">
        <x:v>44961</x:v>
      </x:c>
      <x:c r="C110" s="2" t="str">
        <x:v>Товары для дома</x:v>
      </x:c>
      <x:c r="D110" s="2" t="str">
        <x:v>Плед</x:v>
      </x:c>
      <x:c r="E110" s="7" t="n">
        <x:v>69271.94</x:v>
      </x:c>
      <x:c r="F110" s="9" t="n">
        <x:v>2</x:v>
      </x:c>
      <x:c r="G110" s="2" t="str">
        <x:v>Новосибирск</x:v>
      </x:c>
      <x:c r="H110" s="7" t="n">
        <x:f>E110*F110</x:f>
        <x:v>138543.88</x:v>
      </x:c>
      <x:c r="I110" s="2" t="str">
        <x:f>TEXT(B110,"yyyy-mm")</x:f>
        <x:v>2023-02</x:v>
      </x:c>
      <x:c r="J110" s="8" t="n">
        <x:f>COUNTIFS($H$2:$H$1201,"&gt;"&amp;H110)+COUNTIFS($H$2:H110,H110)</x:f>
        <x:v>882</x:v>
      </x:c>
      <x:c r="K110" s="1"/>
      <x:c r="L110" s="1"/>
    </x:row>
    <x:row r="111" ht="22" customHeight="1">
      <x:c r="A111" s="8" t="n">
        <x:v>260</x:v>
      </x:c>
      <x:c r="B111" s="6" t="n">
        <x:v>44962</x:v>
      </x:c>
      <x:c r="C111" s="2" t="str">
        <x:v>Одежда</x:v>
      </x:c>
      <x:c r="D111" s="2" t="str">
        <x:v>Куртка</x:v>
      </x:c>
      <x:c r="E111" s="7" t="n">
        <x:v>50727.32</x:v>
      </x:c>
      <x:c r="F111" s="9" t="n">
        <x:v>9</x:v>
      </x:c>
      <x:c r="G111" s="2" t="str">
        <x:v>Санкт‑Петербург</x:v>
      </x:c>
      <x:c r="H111" s="7" t="n">
        <x:f>E111*F111</x:f>
        <x:v>456545.88</x:v>
      </x:c>
      <x:c r="I111" s="2" t="str">
        <x:f>TEXT(B111,"yyyy-mm")</x:f>
        <x:v>2023-02</x:v>
      </x:c>
      <x:c r="J111" s="8" t="n">
        <x:f>COUNTIFS($H$2:$H$1201,"&gt;"&amp;H111)+COUNTIFS($H$2:H111,H111)</x:f>
        <x:v>445</x:v>
      </x:c>
      <x:c r="K111" s="1"/>
      <x:c r="L111" s="1"/>
    </x:row>
    <x:row r="112" ht="22" customHeight="1">
      <x:c r="A112" s="8" t="n">
        <x:v>682</x:v>
      </x:c>
      <x:c r="B112" s="6" t="n">
        <x:v>44962</x:v>
      </x:c>
      <x:c r="C112" s="2" t="str">
        <x:v>Электроника</x:v>
      </x:c>
      <x:c r="D112" s="2" t="str">
        <x:v>Смартфон</x:v>
      </x:c>
      <x:c r="E112" s="7" t="n">
        <x:v>122312.41</x:v>
      </x:c>
      <x:c r="F112" s="9" t="n">
        <x:v>1</x:v>
      </x:c>
      <x:c r="G112" s="2" t="str">
        <x:v>Московская область</x:v>
      </x:c>
      <x:c r="H112" s="7" t="n">
        <x:f>E112*F112</x:f>
        <x:v>122312.41</x:v>
      </x:c>
      <x:c r="I112" s="2" t="str">
        <x:f>TEXT(B112,"yyyy-mm")</x:f>
        <x:v>2023-02</x:v>
      </x:c>
      <x:c r="J112" s="8" t="n">
        <x:f>COUNTIFS($H$2:$H$1201,"&gt;"&amp;H112)+COUNTIFS($H$2:H112,H112)</x:f>
        <x:v>923</x:v>
      </x:c>
      <x:c r="K112" s="1"/>
      <x:c r="L112" s="1"/>
    </x:row>
    <x:row r="113" ht="22" customHeight="1">
      <x:c r="A113" s="8" t="n">
        <x:v>817</x:v>
      </x:c>
      <x:c r="B113" s="6" t="n">
        <x:v>44962</x:v>
      </x:c>
      <x:c r="C113" s="2" t="str">
        <x:v>Товары для дома</x:v>
      </x:c>
      <x:c r="D113" s="2" t="str">
        <x:v>Подушка</x:v>
      </x:c>
      <x:c r="E113" s="7" t="n">
        <x:v>40990.06</x:v>
      </x:c>
      <x:c r="F113" s="9" t="n">
        <x:v>7</x:v>
      </x:c>
      <x:c r="G113" s="2" t="str">
        <x:v>Новосибирск</x:v>
      </x:c>
      <x:c r="H113" s="7" t="n">
        <x:f>E113*F113</x:f>
        <x:v>286930.42</x:v>
      </x:c>
      <x:c r="I113" s="2" t="str">
        <x:f>TEXT(B113,"yyyy-mm")</x:f>
        <x:v>2023-02</x:v>
      </x:c>
      <x:c r="J113" s="8" t="n">
        <x:f>COUNTIFS($H$2:$H$1201,"&gt;"&amp;H113)+COUNTIFS($H$2:H113,H113)</x:f>
        <x:v>645</x:v>
      </x:c>
      <x:c r="K113" s="1"/>
      <x:c r="L113" s="1"/>
    </x:row>
    <x:row r="114" ht="22" customHeight="1">
      <x:c r="A114" s="8" t="n">
        <x:v>1105</x:v>
      </x:c>
      <x:c r="B114" s="6" t="n">
        <x:v>44962</x:v>
      </x:c>
      <x:c r="C114" s="2" t="str">
        <x:v>Электроника</x:v>
      </x:c>
      <x:c r="D114" s="2" t="str">
        <x:v>Планшет</x:v>
      </x:c>
      <x:c r="E114" s="7" t="n">
        <x:v>102519.67</x:v>
      </x:c>
      <x:c r="F114" s="9" t="n">
        <x:v>6</x:v>
      </x:c>
      <x:c r="G114" s="2" t="str">
        <x:v>Москва</x:v>
      </x:c>
      <x:c r="H114" s="7" t="n">
        <x:f>E114*F114</x:f>
        <x:v>615118.02</x:v>
      </x:c>
      <x:c r="I114" s="2" t="str">
        <x:f>TEXT(B114,"yyyy-mm")</x:f>
        <x:v>2023-02</x:v>
      </x:c>
      <x:c r="J114" s="8" t="n">
        <x:f>COUNTIFS($H$2:$H$1201,"&gt;"&amp;H114)+COUNTIFS($H$2:H114,H114)</x:f>
        <x:v>310</x:v>
      </x:c>
      <x:c r="K114" s="1"/>
      <x:c r="L114" s="1"/>
    </x:row>
    <x:row r="115" ht="22" customHeight="1">
      <x:c r="A115" s="8" t="n">
        <x:v>399</x:v>
      </x:c>
      <x:c r="B115" s="6" t="n">
        <x:v>44963</x:v>
      </x:c>
      <x:c r="C115" s="2" t="str">
        <x:v>Электроника</x:v>
      </x:c>
      <x:c r="D115" s="2" t="str">
        <x:v>Смартфон</x:v>
      </x:c>
      <x:c r="E115" s="7" t="n">
        <x:v>79695.27</x:v>
      </x:c>
      <x:c r="F115" s="9" t="n">
        <x:v>10</x:v>
      </x:c>
      <x:c r="G115" s="2" t="str">
        <x:v>Казань</x:v>
      </x:c>
      <x:c r="H115" s="7" t="n">
        <x:f>E115*F115</x:f>
        <x:v>796952.7000000001</x:v>
      </x:c>
      <x:c r="I115" s="2" t="str">
        <x:f>TEXT(B115,"yyyy-mm")</x:f>
        <x:v>2023-02</x:v>
      </x:c>
      <x:c r="J115" s="8" t="n">
        <x:f>COUNTIFS($H$2:$H$1201,"&gt;"&amp;H115)+COUNTIFS($H$2:H115,H115)</x:f>
        <x:v>199</x:v>
      </x:c>
      <x:c r="K115" s="1"/>
      <x:c r="L115" s="1"/>
    </x:row>
    <x:row r="116" ht="22" customHeight="1">
      <x:c r="A116" s="8" t="n">
        <x:v>534</x:v>
      </x:c>
      <x:c r="B116" s="6" t="n">
        <x:v>44963</x:v>
      </x:c>
      <x:c r="C116" s="2" t="str">
        <x:v>Электроника</x:v>
      </x:c>
      <x:c r="D116" s="2" t="str">
        <x:v>Планшет</x:v>
      </x:c>
      <x:c r="E116" s="7" t="n">
        <x:v>24708.51</x:v>
      </x:c>
      <x:c r="F116" s="9" t="n">
        <x:v>8</x:v>
      </x:c>
      <x:c r="G116" s="2" t="str">
        <x:v>Екатеринбург</x:v>
      </x:c>
      <x:c r="H116" s="7" t="n">
        <x:f>E116*F116</x:f>
        <x:v>197668.08</x:v>
      </x:c>
      <x:c r="I116" s="2" t="str">
        <x:f>TEXT(B116,"yyyy-mm")</x:f>
        <x:v>2023-02</x:v>
      </x:c>
      <x:c r="J116" s="8" t="n">
        <x:f>COUNTIFS($H$2:$H$1201,"&gt;"&amp;H116)+COUNTIFS($H$2:H116,H116)</x:f>
        <x:v>789</x:v>
      </x:c>
      <x:c r="K116" s="1"/>
      <x:c r="L116" s="1"/>
    </x:row>
    <x:row r="117" ht="22" customHeight="1">
      <x:c r="A117" s="8" t="n">
        <x:v>766</x:v>
      </x:c>
      <x:c r="B117" s="6" t="n">
        <x:v>44963</x:v>
      </x:c>
      <x:c r="C117" s="2" t="str">
        <x:v>Электроника</x:v>
      </x:c>
      <x:c r="D117" s="2" t="str">
        <x:v>Ноутбук</x:v>
      </x:c>
      <x:c r="E117" s="7" t="n">
        <x:v>87310</x:v>
      </x:c>
      <x:c r="F117" s="9" t="n">
        <x:v>10</x:v>
      </x:c>
      <x:c r="G117" s="2" t="str">
        <x:v>Екатеринбург</x:v>
      </x:c>
      <x:c r="H117" s="7" t="n">
        <x:f>E117*F117</x:f>
        <x:v>873100</x:v>
      </x:c>
      <x:c r="I117" s="2" t="str">
        <x:f>TEXT(B117,"yyyy-mm")</x:f>
        <x:v>2023-02</x:v>
      </x:c>
      <x:c r="J117" s="8" t="n">
        <x:f>COUNTIFS($H$2:$H$1201,"&gt;"&amp;H117)+COUNTIFS($H$2:H117,H117)</x:f>
        <x:v>149</x:v>
      </x:c>
      <x:c r="K117" s="1"/>
      <x:c r="L117" s="1"/>
    </x:row>
    <x:row r="118" ht="22" customHeight="1">
      <x:c r="A118" s="8" t="n">
        <x:v>947</x:v>
      </x:c>
      <x:c r="B118" s="6" t="n">
        <x:v>44963</x:v>
      </x:c>
      <x:c r="C118" s="2" t="str">
        <x:v>Товары для дома</x:v>
      </x:c>
      <x:c r="D118" s="2" t="str">
        <x:v>Плед</x:v>
      </x:c>
      <x:c r="E118" s="7" t="n">
        <x:v>35893.66</x:v>
      </x:c>
      <x:c r="F118" s="9" t="n">
        <x:v>6</x:v>
      </x:c>
      <x:c r="G118" s="2" t="str">
        <x:v>Екатеринбург</x:v>
      </x:c>
      <x:c r="H118" s="7" t="n">
        <x:f>E118*F118</x:f>
        <x:v>215361.96000000002</x:v>
      </x:c>
      <x:c r="I118" s="2" t="str">
        <x:f>TEXT(B118,"yyyy-mm")</x:f>
        <x:v>2023-02</x:v>
      </x:c>
      <x:c r="J118" s="8" t="n">
        <x:f>COUNTIFS($H$2:$H$1201,"&gt;"&amp;H118)+COUNTIFS($H$2:H118,H118)</x:f>
        <x:v>766</x:v>
      </x:c>
      <x:c r="K118" s="1"/>
      <x:c r="L118" s="1"/>
    </x:row>
    <x:row r="119" ht="22" customHeight="1">
      <x:c r="A119" s="8" t="n">
        <x:v>1091</x:v>
      </x:c>
      <x:c r="B119" s="6" t="n">
        <x:v>44963</x:v>
      </x:c>
      <x:c r="C119" s="2" t="str">
        <x:v>Одежда</x:v>
      </x:c>
      <x:c r="D119" s="2" t="str">
        <x:v>Кроссовки</x:v>
      </x:c>
      <x:c r="E119" s="7" t="n">
        <x:v>21783.22</x:v>
      </x:c>
      <x:c r="F119" s="9" t="n">
        <x:v>10</x:v>
      </x:c>
      <x:c r="G119" s="2" t="str">
        <x:v>Москва</x:v>
      </x:c>
      <x:c r="H119" s="7" t="n">
        <x:f>E119*F119</x:f>
        <x:v>217832.2</x:v>
      </x:c>
      <x:c r="I119" s="2" t="str">
        <x:f>TEXT(B119,"yyyy-mm")</x:f>
        <x:v>2023-02</x:v>
      </x:c>
      <x:c r="J119" s="8" t="n">
        <x:f>COUNTIFS($H$2:$H$1201,"&gt;"&amp;H119)+COUNTIFS($H$2:H119,H119)</x:f>
        <x:v>761</x:v>
      </x:c>
      <x:c r="K119" s="1"/>
      <x:c r="L119" s="1"/>
    </x:row>
    <x:row r="120" ht="22" customHeight="1">
      <x:c r="A120" s="8" t="n">
        <x:v>126</x:v>
      </x:c>
      <x:c r="B120" s="6" t="n">
        <x:v>44964</x:v>
      </x:c>
      <x:c r="C120" s="2" t="str">
        <x:v>Одежда</x:v>
      </x:c>
      <x:c r="D120" s="2" t="str">
        <x:v>Куртка</x:v>
      </x:c>
      <x:c r="E120" s="7" t="n">
        <x:v>92199.81</x:v>
      </x:c>
      <x:c r="F120" s="9" t="n">
        <x:v>1</x:v>
      </x:c>
      <x:c r="G120" s="2" t="str">
        <x:v>Казань</x:v>
      </x:c>
      <x:c r="H120" s="7" t="n">
        <x:f>E120*F120</x:f>
        <x:v>92199.81</x:v>
      </x:c>
      <x:c r="I120" s="2" t="str">
        <x:f>TEXT(B120,"yyyy-mm")</x:f>
        <x:v>2023-02</x:v>
      </x:c>
      <x:c r="J120" s="8" t="n">
        <x:f>COUNTIFS($H$2:$H$1201,"&gt;"&amp;H120)+COUNTIFS($H$2:H120,H120)</x:f>
        <x:v>985</x:v>
      </x:c>
      <x:c r="K120" s="1"/>
      <x:c r="L120" s="1"/>
    </x:row>
    <x:row r="121" ht="22" customHeight="1">
      <x:c r="A121" s="8" t="n">
        <x:v>278</x:v>
      </x:c>
      <x:c r="B121" s="6" t="n">
        <x:v>44964</x:v>
      </x:c>
      <x:c r="C121" s="2" t="str">
        <x:v>Электроника</x:v>
      </x:c>
      <x:c r="D121" s="2" t="str">
        <x:v>Смартфон</x:v>
      </x:c>
      <x:c r="E121" s="7" t="n">
        <x:v>17015.29</x:v>
      </x:c>
      <x:c r="F121" s="9" t="n">
        <x:v>2</x:v>
      </x:c>
      <x:c r="G121" s="2" t="str">
        <x:v>Москва</x:v>
      </x:c>
      <x:c r="H121" s="7" t="n">
        <x:f>E121*F121</x:f>
        <x:v>34030.58</x:v>
      </x:c>
      <x:c r="I121" s="2" t="str">
        <x:f>TEXT(B121,"yyyy-mm")</x:f>
        <x:v>2023-02</x:v>
      </x:c>
      <x:c r="J121" s="8" t="n">
        <x:f>COUNTIFS($H$2:$H$1201,"&gt;"&amp;H121)+COUNTIFS($H$2:H121,H121)</x:f>
        <x:v>1116</x:v>
      </x:c>
      <x:c r="K121" s="1"/>
      <x:c r="L121" s="1"/>
    </x:row>
    <x:row r="122" ht="22" customHeight="1">
      <x:c r="A122" s="8" t="n">
        <x:v>594</x:v>
      </x:c>
      <x:c r="B122" s="6" t="n">
        <x:v>44964</x:v>
      </x:c>
      <x:c r="C122" s="2" t="str">
        <x:v>Электроника</x:v>
      </x:c>
      <x:c r="D122" s="2" t="str">
        <x:v>Смартфон</x:v>
      </x:c>
      <x:c r="E122" s="7" t="n">
        <x:v>33171.28</x:v>
      </x:c>
      <x:c r="F122" s="9" t="n">
        <x:v>5</x:v>
      </x:c>
      <x:c r="G122" s="2" t="str">
        <x:v>Санкт‑Петербург</x:v>
      </x:c>
      <x:c r="H122" s="7" t="n">
        <x:f>E122*F122</x:f>
        <x:v>165856.4</x:v>
      </x:c>
      <x:c r="I122" s="2" t="str">
        <x:f>TEXT(B122,"yyyy-mm")</x:f>
        <x:v>2023-02</x:v>
      </x:c>
      <x:c r="J122" s="8" t="n">
        <x:f>COUNTIFS($H$2:$H$1201,"&gt;"&amp;H122)+COUNTIFS($H$2:H122,H122)</x:f>
        <x:v>830</x:v>
      </x:c>
      <x:c r="K122" s="1"/>
      <x:c r="L122" s="1"/>
    </x:row>
    <x:row r="123" ht="22" customHeight="1">
      <x:c r="A123" s="8" t="n">
        <x:v>685</x:v>
      </x:c>
      <x:c r="B123" s="6" t="n">
        <x:v>44964</x:v>
      </x:c>
      <x:c r="C123" s="2" t="str">
        <x:v>Электроника</x:v>
      </x:c>
      <x:c r="D123" s="2" t="str">
        <x:v>Планшет</x:v>
      </x:c>
      <x:c r="E123" s="7" t="n">
        <x:v>63270.95</x:v>
      </x:c>
      <x:c r="F123" s="9" t="n">
        <x:v>3</x:v>
      </x:c>
      <x:c r="G123" s="2" t="str">
        <x:v>Москва</x:v>
      </x:c>
      <x:c r="H123" s="7" t="n">
        <x:f>E123*F123</x:f>
        <x:v>189812.84999999998</x:v>
      </x:c>
      <x:c r="I123" s="2" t="str">
        <x:f>TEXT(B123,"yyyy-mm")</x:f>
        <x:v>2023-02</x:v>
      </x:c>
      <x:c r="J123" s="8" t="n">
        <x:f>COUNTIFS($H$2:$H$1201,"&gt;"&amp;H123)+COUNTIFS($H$2:H123,H123)</x:f>
        <x:v>804</x:v>
      </x:c>
      <x:c r="K123" s="1"/>
      <x:c r="L123" s="1"/>
    </x:row>
    <x:row r="124" ht="22" customHeight="1">
      <x:c r="A124" s="8" t="n">
        <x:v>816</x:v>
      </x:c>
      <x:c r="B124" s="6" t="n">
        <x:v>44964</x:v>
      </x:c>
      <x:c r="C124" s="2" t="str">
        <x:v>Продукты</x:v>
      </x:c>
      <x:c r="D124" s="2" t="str">
        <x:v>Хлеб</x:v>
      </x:c>
      <x:c r="E124" s="7" t="n">
        <x:v>31182.07</x:v>
      </x:c>
      <x:c r="F124" s="9" t="n">
        <x:v>7</x:v>
      </x:c>
      <x:c r="G124" s="2" t="str">
        <x:v>Санкт‑Петербург</x:v>
      </x:c>
      <x:c r="H124" s="7" t="n">
        <x:f>E124*F124</x:f>
        <x:v>218274.49</x:v>
      </x:c>
      <x:c r="I124" s="2" t="str">
        <x:f>TEXT(B124,"yyyy-mm")</x:f>
        <x:v>2023-02</x:v>
      </x:c>
      <x:c r="J124" s="8" t="n">
        <x:f>COUNTIFS($H$2:$H$1201,"&gt;"&amp;H124)+COUNTIFS($H$2:H124,H124)</x:f>
        <x:v>760</x:v>
      </x:c>
      <x:c r="K124" s="1"/>
      <x:c r="L124" s="1"/>
    </x:row>
    <x:row r="125" ht="22" customHeight="1">
      <x:c r="A125" s="8" t="n">
        <x:v>858</x:v>
      </x:c>
      <x:c r="B125" s="6" t="n">
        <x:v>44964</x:v>
      </x:c>
      <x:c r="C125" s="2" t="str">
        <x:v>Электроника</x:v>
      </x:c>
      <x:c r="D125" s="2" t="str">
        <x:v>Смартфон</x:v>
      </x:c>
      <x:c r="E125" s="7" t="n">
        <x:v>103076.51</x:v>
      </x:c>
      <x:c r="F125" s="9" t="n">
        <x:v>6</x:v>
      </x:c>
      <x:c r="G125" s="2" t="str">
        <x:v>Екатеринбург</x:v>
      </x:c>
      <x:c r="H125" s="7" t="n">
        <x:f>E125*F125</x:f>
        <x:v>618459.0599999999</x:v>
      </x:c>
      <x:c r="I125" s="2" t="str">
        <x:f>TEXT(B125,"yyyy-mm")</x:f>
        <x:v>2023-02</x:v>
      </x:c>
      <x:c r="J125" s="8" t="n">
        <x:f>COUNTIFS($H$2:$H$1201,"&gt;"&amp;H125)+COUNTIFS($H$2:H125,H125)</x:f>
        <x:v>309</x:v>
      </x:c>
      <x:c r="K125" s="1"/>
      <x:c r="L125" s="1"/>
    </x:row>
    <x:row r="126" ht="22" customHeight="1">
      <x:c r="A126" s="8" t="n">
        <x:v>882</x:v>
      </x:c>
      <x:c r="B126" s="6" t="n">
        <x:v>44964</x:v>
      </x:c>
      <x:c r="C126" s="2" t="str">
        <x:v>Электроника</x:v>
      </x:c>
      <x:c r="D126" s="2" t="str">
        <x:v>Наушники</x:v>
      </x:c>
      <x:c r="E126" s="7" t="n">
        <x:v>21275.27</x:v>
      </x:c>
      <x:c r="F126" s="9" t="n">
        <x:v>6</x:v>
      </x:c>
      <x:c r="G126" s="2" t="str">
        <x:v>Санкт‑Петербург</x:v>
      </x:c>
      <x:c r="H126" s="7" t="n">
        <x:f>E126*F126</x:f>
        <x:v>127651.62</x:v>
      </x:c>
      <x:c r="I126" s="2" t="str">
        <x:f>TEXT(B126,"yyyy-mm")</x:f>
        <x:v>2023-02</x:v>
      </x:c>
      <x:c r="J126" s="8" t="n">
        <x:f>COUNTIFS($H$2:$H$1201,"&gt;"&amp;H126)+COUNTIFS($H$2:H126,H126)</x:f>
        <x:v>910</x:v>
      </x:c>
      <x:c r="K126" s="1"/>
      <x:c r="L126" s="1"/>
    </x:row>
    <x:row r="127" ht="22" customHeight="1">
      <x:c r="A127" s="8" t="n">
        <x:v>1061</x:v>
      </x:c>
      <x:c r="B127" s="6" t="n">
        <x:v>44964</x:v>
      </x:c>
      <x:c r="C127" s="2" t="str">
        <x:v>Товары для дома</x:v>
      </x:c>
      <x:c r="D127" s="2" t="str">
        <x:v>Подушка</x:v>
      </x:c>
      <x:c r="E127" s="7" t="n">
        <x:v>57139.79</x:v>
      </x:c>
      <x:c r="F127" s="9" t="n">
        <x:v>8</x:v>
      </x:c>
      <x:c r="G127" s="2" t="str">
        <x:v>Московская область</x:v>
      </x:c>
      <x:c r="H127" s="7" t="n">
        <x:f>E127*F127</x:f>
        <x:v>457118.32</x:v>
      </x:c>
      <x:c r="I127" s="2" t="str">
        <x:f>TEXT(B127,"yyyy-mm")</x:f>
        <x:v>2023-02</x:v>
      </x:c>
      <x:c r="J127" s="8" t="n">
        <x:f>COUNTIFS($H$2:$H$1201,"&gt;"&amp;H127)+COUNTIFS($H$2:H127,H127)</x:f>
        <x:v>444</x:v>
      </x:c>
      <x:c r="K127" s="1"/>
      <x:c r="L127" s="1"/>
    </x:row>
    <x:row r="128" ht="22" customHeight="1">
      <x:c r="A128" s="8" t="n">
        <x:v>77</x:v>
      </x:c>
      <x:c r="B128" s="6" t="n">
        <x:v>44965</x:v>
      </x:c>
      <x:c r="C128" s="2" t="str">
        <x:v>Одежда</x:v>
      </x:c>
      <x:c r="D128" s="2" t="str">
        <x:v>Кроссовки</x:v>
      </x:c>
      <x:c r="E128" s="7" t="n">
        <x:v>77362.08</x:v>
      </x:c>
      <x:c r="F128" s="9" t="n">
        <x:v>9</x:v>
      </x:c>
      <x:c r="G128" s="2" t="str">
        <x:v>Новосибирск</x:v>
      </x:c>
      <x:c r="H128" s="7" t="n">
        <x:f>E128*F128</x:f>
        <x:v>696258.72</x:v>
      </x:c>
      <x:c r="I128" s="2" t="str">
        <x:f>TEXT(B128,"yyyy-mm")</x:f>
        <x:v>2023-02</x:v>
      </x:c>
      <x:c r="J128" s="8" t="n">
        <x:f>COUNTIFS($H$2:$H$1201,"&gt;"&amp;H128)+COUNTIFS($H$2:H128,H128)</x:f>
        <x:v>262</x:v>
      </x:c>
      <x:c r="K128" s="1"/>
      <x:c r="L128" s="1"/>
    </x:row>
    <x:row r="129" ht="22" customHeight="1">
      <x:c r="A129" s="8" t="n">
        <x:v>169</x:v>
      </x:c>
      <x:c r="B129" s="6" t="n">
        <x:v>44965</x:v>
      </x:c>
      <x:c r="C129" s="2" t="str">
        <x:v>Электроника</x:v>
      </x:c>
      <x:c r="D129" s="2" t="str">
        <x:v>Планшет</x:v>
      </x:c>
      <x:c r="E129" s="7" t="n">
        <x:v>120515.27</x:v>
      </x:c>
      <x:c r="F129" s="9" t="n">
        <x:v>9</x:v>
      </x:c>
      <x:c r="G129" s="2" t="str">
        <x:v>Екатеринбург</x:v>
      </x:c>
      <x:c r="H129" s="7" t="n">
        <x:f>E129*F129</x:f>
        <x:v>1084637.43</x:v>
      </x:c>
      <x:c r="I129" s="2" t="str">
        <x:f>TEXT(B129,"yyyy-mm")</x:f>
        <x:v>2023-02</x:v>
      </x:c>
      <x:c r="J129" s="8" t="n">
        <x:f>COUNTIFS($H$2:$H$1201,"&gt;"&amp;H129)+COUNTIFS($H$2:H129,H129)</x:f>
        <x:v>68</x:v>
      </x:c>
      <x:c r="K129" s="1"/>
      <x:c r="L129" s="1"/>
    </x:row>
    <x:row r="130" ht="22" customHeight="1">
      <x:c r="A130" s="8" t="n">
        <x:v>179</x:v>
      </x:c>
      <x:c r="B130" s="6" t="n">
        <x:v>44965</x:v>
      </x:c>
      <x:c r="C130" s="2" t="str">
        <x:v>Продукты</x:v>
      </x:c>
      <x:c r="D130" s="2" t="str">
        <x:v>Шоколад</x:v>
      </x:c>
      <x:c r="E130" s="7" t="n">
        <x:v>86115.43</x:v>
      </x:c>
      <x:c r="F130" s="9" t="n">
        <x:v>9</x:v>
      </x:c>
      <x:c r="G130" s="2" t="str">
        <x:v>Новосибирск</x:v>
      </x:c>
      <x:c r="H130" s="7" t="n">
        <x:f>E130*F130</x:f>
        <x:v>775038.8699999999</x:v>
      </x:c>
      <x:c r="I130" s="2" t="str">
        <x:f>TEXT(B130,"yyyy-mm")</x:f>
        <x:v>2023-02</x:v>
      </x:c>
      <x:c r="J130" s="8" t="n">
        <x:f>COUNTIFS($H$2:$H$1201,"&gt;"&amp;H130)+COUNTIFS($H$2:H130,H130)</x:f>
        <x:v>209</x:v>
      </x:c>
      <x:c r="K130" s="1"/>
      <x:c r="L130" s="1"/>
    </x:row>
    <x:row r="131" ht="22" customHeight="1">
      <x:c r="A131" s="8" t="n">
        <x:v>575</x:v>
      </x:c>
      <x:c r="B131" s="6" t="n">
        <x:v>44965</x:v>
      </x:c>
      <x:c r="C131" s="2" t="str">
        <x:v>Одежда</x:v>
      </x:c>
      <x:c r="D131" s="2" t="str">
        <x:v>Куртка</x:v>
      </x:c>
      <x:c r="E131" s="7" t="n">
        <x:v>12702.72</x:v>
      </x:c>
      <x:c r="F131" s="9" t="n">
        <x:v>7</x:v>
      </x:c>
      <x:c r="G131" s="2" t="str">
        <x:v>Казань</x:v>
      </x:c>
      <x:c r="H131" s="7" t="n">
        <x:f>E131*F131</x:f>
        <x:v>88919.04</x:v>
      </x:c>
      <x:c r="I131" s="2" t="str">
        <x:f>TEXT(B131,"yyyy-mm")</x:f>
        <x:v>2023-02</x:v>
      </x:c>
      <x:c r="J131" s="8" t="n">
        <x:f>COUNTIFS($H$2:$H$1201,"&gt;"&amp;H131)+COUNTIFS($H$2:H131,H131)</x:f>
        <x:v>995</x:v>
      </x:c>
      <x:c r="K131" s="1"/>
      <x:c r="L131" s="1"/>
    </x:row>
    <x:row r="132" ht="22" customHeight="1">
      <x:c r="A132" s="8" t="n">
        <x:v>765</x:v>
      </x:c>
      <x:c r="B132" s="6" t="n">
        <x:v>44965</x:v>
      </x:c>
      <x:c r="C132" s="2" t="str">
        <x:v>Продукты</x:v>
      </x:c>
      <x:c r="D132" s="2" t="str">
        <x:v>Шоколад</x:v>
      </x:c>
      <x:c r="E132" s="7" t="n">
        <x:v>37357.59</x:v>
      </x:c>
      <x:c r="F132" s="9" t="n">
        <x:v>2</x:v>
      </x:c>
      <x:c r="G132" s="2" t="str">
        <x:v>Екатеринбург</x:v>
      </x:c>
      <x:c r="H132" s="7" t="n">
        <x:f>E132*F132</x:f>
        <x:v>74715.18</x:v>
      </x:c>
      <x:c r="I132" s="2" t="str">
        <x:f>TEXT(B132,"yyyy-mm")</x:f>
        <x:v>2023-02</x:v>
      </x:c>
      <x:c r="J132" s="8" t="n">
        <x:f>COUNTIFS($H$2:$H$1201,"&gt;"&amp;H132)+COUNTIFS($H$2:H132,H132)</x:f>
        <x:v>1029</x:v>
      </x:c>
      <x:c r="K132" s="1"/>
      <x:c r="L132" s="1"/>
    </x:row>
    <x:row r="133" ht="22" customHeight="1">
      <x:c r="A133" s="8" t="n">
        <x:v>871</x:v>
      </x:c>
      <x:c r="B133" s="6" t="n">
        <x:v>44965</x:v>
      </x:c>
      <x:c r="C133" s="2" t="str">
        <x:v>Продукты</x:v>
      </x:c>
      <x:c r="D133" s="2" t="str">
        <x:v>Хлеб</x:v>
      </x:c>
      <x:c r="E133" s="7" t="n">
        <x:v>91637.95</x:v>
      </x:c>
      <x:c r="F133" s="9" t="n">
        <x:v>6</x:v>
      </x:c>
      <x:c r="G133" s="2" t="str">
        <x:v>Новосибирск</x:v>
      </x:c>
      <x:c r="H133" s="7" t="n">
        <x:f>E133*F133</x:f>
        <x:v>549827.7</x:v>
      </x:c>
      <x:c r="I133" s="2" t="str">
        <x:f>TEXT(B133,"yyyy-mm")</x:f>
        <x:v>2023-02</x:v>
      </x:c>
      <x:c r="J133" s="8" t="n">
        <x:f>COUNTIFS($H$2:$H$1201,"&gt;"&amp;H133)+COUNTIFS($H$2:H133,H133)</x:f>
        <x:v>369</x:v>
      </x:c>
      <x:c r="K133" s="1"/>
      <x:c r="L133" s="1"/>
    </x:row>
    <x:row r="134" ht="22" customHeight="1">
      <x:c r="A134" s="8" t="n">
        <x:v>123</x:v>
      </x:c>
      <x:c r="B134" s="6" t="n">
        <x:v>44966</x:v>
      </x:c>
      <x:c r="C134" s="2" t="str">
        <x:v>Продукты</x:v>
      </x:c>
      <x:c r="D134" s="2" t="str">
        <x:v>Молоко</x:v>
      </x:c>
      <x:c r="E134" s="7" t="n">
        <x:v>69577.98</x:v>
      </x:c>
      <x:c r="F134" s="9" t="n">
        <x:v>1</x:v>
      </x:c>
      <x:c r="G134" s="2" t="str">
        <x:v>Новосибирск</x:v>
      </x:c>
      <x:c r="H134" s="7" t="n">
        <x:f>E134*F134</x:f>
        <x:v>69577.98</x:v>
      </x:c>
      <x:c r="I134" s="2" t="str">
        <x:f>TEXT(B134,"yyyy-mm")</x:f>
        <x:v>2023-02</x:v>
      </x:c>
      <x:c r="J134" s="8" t="n">
        <x:f>COUNTIFS($H$2:$H$1201,"&gt;"&amp;H134)+COUNTIFS($H$2:H134,H134)</x:f>
        <x:v>1039</x:v>
      </x:c>
      <x:c r="K134" s="1"/>
      <x:c r="L134" s="1"/>
    </x:row>
    <x:row r="135" ht="22" customHeight="1">
      <x:c r="A135" s="8" t="n">
        <x:v>639</x:v>
      </x:c>
      <x:c r="B135" s="6" t="n">
        <x:v>44966</x:v>
      </x:c>
      <x:c r="C135" s="2" t="str">
        <x:v>Продукты</x:v>
      </x:c>
      <x:c r="D135" s="2" t="str">
        <x:v>Хлеб</x:v>
      </x:c>
      <x:c r="E135" s="7" t="n">
        <x:v>41164.61</x:v>
      </x:c>
      <x:c r="F135" s="9" t="n">
        <x:v>10</x:v>
      </x:c>
      <x:c r="G135" s="2" t="str">
        <x:v>Московская область</x:v>
      </x:c>
      <x:c r="H135" s="7" t="n">
        <x:f>E135*F135</x:f>
        <x:v>411646.1</x:v>
      </x:c>
      <x:c r="I135" s="2" t="str">
        <x:f>TEXT(B135,"yyyy-mm")</x:f>
        <x:v>2023-02</x:v>
      </x:c>
      <x:c r="J135" s="8" t="n">
        <x:f>COUNTIFS($H$2:$H$1201,"&gt;"&amp;H135)+COUNTIFS($H$2:H135,H135)</x:f>
        <x:v>504</x:v>
      </x:c>
      <x:c r="K135" s="1"/>
      <x:c r="L135" s="1"/>
    </x:row>
    <x:row r="136" ht="22" customHeight="1">
      <x:c r="A136" s="8" t="n">
        <x:v>752</x:v>
      </x:c>
      <x:c r="B136" s="6" t="n">
        <x:v>44966</x:v>
      </x:c>
      <x:c r="C136" s="2" t="str">
        <x:v>Электроника</x:v>
      </x:c>
      <x:c r="D136" s="2" t="str">
        <x:v>Смартфон</x:v>
      </x:c>
      <x:c r="E136" s="7" t="n">
        <x:v>86935.89</x:v>
      </x:c>
      <x:c r="F136" s="9" t="n">
        <x:v>10</x:v>
      </x:c>
      <x:c r="G136" s="2" t="str">
        <x:v>Казань</x:v>
      </x:c>
      <x:c r="H136" s="7" t="n">
        <x:f>E136*F136</x:f>
        <x:v>869358.9</x:v>
      </x:c>
      <x:c r="I136" s="2" t="str">
        <x:f>TEXT(B136,"yyyy-mm")</x:f>
        <x:v>2023-02</x:v>
      </x:c>
      <x:c r="J136" s="8" t="n">
        <x:f>COUNTIFS($H$2:$H$1201,"&gt;"&amp;H136)+COUNTIFS($H$2:H136,H136)</x:f>
        <x:v>154</x:v>
      </x:c>
      <x:c r="K136" s="1"/>
      <x:c r="L136" s="1"/>
    </x:row>
    <x:row r="137" ht="22" customHeight="1">
      <x:c r="A137" s="8" t="n">
        <x:v>753</x:v>
      </x:c>
      <x:c r="B137" s="6" t="n">
        <x:v>44966</x:v>
      </x:c>
      <x:c r="C137" s="2" t="str">
        <x:v>Одежда</x:v>
      </x:c>
      <x:c r="D137" s="2" t="str">
        <x:v>Куртка</x:v>
      </x:c>
      <x:c r="E137" s="7" t="n">
        <x:v>114530.27</x:v>
      </x:c>
      <x:c r="F137" s="9" t="n">
        <x:v>5</x:v>
      </x:c>
      <x:c r="G137" s="2" t="str">
        <x:v>Новосибирск</x:v>
      </x:c>
      <x:c r="H137" s="7" t="n">
        <x:f>E137*F137</x:f>
        <x:v>572651.35</x:v>
      </x:c>
      <x:c r="I137" s="2" t="str">
        <x:f>TEXT(B137,"yyyy-mm")</x:f>
        <x:v>2023-02</x:v>
      </x:c>
      <x:c r="J137" s="8" t="n">
        <x:f>COUNTIFS($H$2:$H$1201,"&gt;"&amp;H137)+COUNTIFS($H$2:H137,H137)</x:f>
        <x:v>345</x:v>
      </x:c>
      <x:c r="K137" s="1"/>
      <x:c r="L137" s="1"/>
    </x:row>
    <x:row r="138" ht="22" customHeight="1">
      <x:c r="A138" s="8" t="n">
        <x:v>948</x:v>
      </x:c>
      <x:c r="B138" s="6" t="n">
        <x:v>44966</x:v>
      </x:c>
      <x:c r="C138" s="2" t="str">
        <x:v>Одежда</x:v>
      </x:c>
      <x:c r="D138" s="2" t="str">
        <x:v>Джинсы</x:v>
      </x:c>
      <x:c r="E138" s="7" t="n">
        <x:v>97962.88</x:v>
      </x:c>
      <x:c r="F138" s="9" t="n">
        <x:v>10</x:v>
      </x:c>
      <x:c r="G138" s="2" t="str">
        <x:v>Москва</x:v>
      </x:c>
      <x:c r="H138" s="7" t="n">
        <x:f>E138*F138</x:f>
        <x:v>979628.8</x:v>
      </x:c>
      <x:c r="I138" s="2" t="str">
        <x:f>TEXT(B138,"yyyy-mm")</x:f>
        <x:v>2023-02</x:v>
      </x:c>
      <x:c r="J138" s="8" t="n">
        <x:f>COUNTIFS($H$2:$H$1201,"&gt;"&amp;H138)+COUNTIFS($H$2:H138,H138)</x:f>
        <x:v>96</x:v>
      </x:c>
      <x:c r="K138" s="1"/>
      <x:c r="L138" s="1"/>
    </x:row>
    <x:row r="139" ht="22" customHeight="1">
      <x:c r="A139" s="8" t="n">
        <x:v>1175</x:v>
      </x:c>
      <x:c r="B139" s="6" t="n">
        <x:v>44966</x:v>
      </x:c>
      <x:c r="C139" s="2" t="str">
        <x:v>Одежда</x:v>
      </x:c>
      <x:c r="D139" s="2" t="str">
        <x:v>Футболка</x:v>
      </x:c>
      <x:c r="E139" s="7" t="n">
        <x:v>96584.97</x:v>
      </x:c>
      <x:c r="F139" s="9" t="n">
        <x:v>2</x:v>
      </x:c>
      <x:c r="G139" s="2" t="str">
        <x:v>Казань</x:v>
      </x:c>
      <x:c r="H139" s="7" t="n">
        <x:f>E139*F139</x:f>
        <x:v>193169.94</x:v>
      </x:c>
      <x:c r="I139" s="2" t="str">
        <x:f>TEXT(B139,"yyyy-mm")</x:f>
        <x:v>2023-02</x:v>
      </x:c>
      <x:c r="J139" s="8" t="n">
        <x:f>COUNTIFS($H$2:$H$1201,"&gt;"&amp;H139)+COUNTIFS($H$2:H139,H139)</x:f>
        <x:v>798</x:v>
      </x:c>
      <x:c r="K139" s="1"/>
      <x:c r="L139" s="1"/>
    </x:row>
    <x:row r="140" ht="22" customHeight="1">
      <x:c r="A140" s="8" t="n">
        <x:v>381</x:v>
      </x:c>
      <x:c r="B140" s="6" t="n">
        <x:v>44967</x:v>
      </x:c>
      <x:c r="C140" s="2" t="str">
        <x:v>Продукты</x:v>
      </x:c>
      <x:c r="D140" s="2" t="str">
        <x:v>Кофе</x:v>
      </x:c>
      <x:c r="E140" s="7" t="n">
        <x:v>40559.18</x:v>
      </x:c>
      <x:c r="F140" s="9" t="n">
        <x:v>4</x:v>
      </x:c>
      <x:c r="G140" s="2" t="str">
        <x:v>Екатеринбург</x:v>
      </x:c>
      <x:c r="H140" s="7" t="n">
        <x:f>E140*F140</x:f>
        <x:v>162236.72</x:v>
      </x:c>
      <x:c r="I140" s="2" t="str">
        <x:f>TEXT(B140,"yyyy-mm")</x:f>
        <x:v>2023-02</x:v>
      </x:c>
      <x:c r="J140" s="8" t="n">
        <x:f>COUNTIFS($H$2:$H$1201,"&gt;"&amp;H140)+COUNTIFS($H$2:H140,H140)</x:f>
        <x:v>835</x:v>
      </x:c>
      <x:c r="K140" s="1"/>
      <x:c r="L140" s="1"/>
    </x:row>
    <x:row r="141" ht="22" customHeight="1">
      <x:c r="A141" s="8" t="n">
        <x:v>762</x:v>
      </x:c>
      <x:c r="B141" s="6" t="n">
        <x:v>44967</x:v>
      </x:c>
      <x:c r="C141" s="2" t="str">
        <x:v>Товары для дома</x:v>
      </x:c>
      <x:c r="D141" s="2" t="str">
        <x:v>Подушка</x:v>
      </x:c>
      <x:c r="E141" s="7" t="n">
        <x:v>5750.14</x:v>
      </x:c>
      <x:c r="F141" s="9" t="n">
        <x:v>6</x:v>
      </x:c>
      <x:c r="G141" s="2" t="str">
        <x:v>Московская область</x:v>
      </x:c>
      <x:c r="H141" s="7" t="n">
        <x:f>E141*F141</x:f>
        <x:v>34500.840000000004</x:v>
      </x:c>
      <x:c r="I141" s="2" t="str">
        <x:f>TEXT(B141,"yyyy-mm")</x:f>
        <x:v>2023-02</x:v>
      </x:c>
      <x:c r="J141" s="8" t="n">
        <x:f>COUNTIFS($H$2:$H$1201,"&gt;"&amp;H141)+COUNTIFS($H$2:H141,H141)</x:f>
        <x:v>1115</x:v>
      </x:c>
      <x:c r="K141" s="1"/>
      <x:c r="L141" s="1"/>
    </x:row>
    <x:row r="142" ht="22" customHeight="1">
      <x:c r="A142" s="8" t="n">
        <x:v>456</x:v>
      </x:c>
      <x:c r="B142" s="6" t="n">
        <x:v>44968</x:v>
      </x:c>
      <x:c r="C142" s="2" t="str">
        <x:v>Продукты</x:v>
      </x:c>
      <x:c r="D142" s="2" t="str">
        <x:v>Молоко</x:v>
      </x:c>
      <x:c r="E142" s="7" t="n">
        <x:v>90559.36</x:v>
      </x:c>
      <x:c r="F142" s="9" t="n">
        <x:v>8</x:v>
      </x:c>
      <x:c r="G142" s="2" t="str">
        <x:v>Екатеринбург</x:v>
      </x:c>
      <x:c r="H142" s="7" t="n">
        <x:f>E142*F142</x:f>
        <x:v>724474.88</x:v>
      </x:c>
      <x:c r="I142" s="2" t="str">
        <x:f>TEXT(B142,"yyyy-mm")</x:f>
        <x:v>2023-02</x:v>
      </x:c>
      <x:c r="J142" s="8" t="n">
        <x:f>COUNTIFS($H$2:$H$1201,"&gt;"&amp;H142)+COUNTIFS($H$2:H142,H142)</x:f>
        <x:v>246</x:v>
      </x:c>
      <x:c r="K142" s="1"/>
      <x:c r="L142" s="1"/>
    </x:row>
    <x:row r="143" ht="22" customHeight="1">
      <x:c r="A143" s="8" t="n">
        <x:v>488</x:v>
      </x:c>
      <x:c r="B143" s="6" t="n">
        <x:v>44968</x:v>
      </x:c>
      <x:c r="C143" s="2" t="str">
        <x:v>Продукты</x:v>
      </x:c>
      <x:c r="D143" s="2" t="str">
        <x:v>Молоко</x:v>
      </x:c>
      <x:c r="E143" s="7" t="n">
        <x:v>107718.06</x:v>
      </x:c>
      <x:c r="F143" s="9" t="n">
        <x:v>4</x:v>
      </x:c>
      <x:c r="G143" s="2" t="str">
        <x:v>Московская область</x:v>
      </x:c>
      <x:c r="H143" s="7" t="n">
        <x:f>E143*F143</x:f>
        <x:v>430872.24</x:v>
      </x:c>
      <x:c r="I143" s="2" t="str">
        <x:f>TEXT(B143,"yyyy-mm")</x:f>
        <x:v>2023-02</x:v>
      </x:c>
      <x:c r="J143" s="8" t="n">
        <x:f>COUNTIFS($H$2:$H$1201,"&gt;"&amp;H143)+COUNTIFS($H$2:H143,H143)</x:f>
        <x:v>482</x:v>
      </x:c>
      <x:c r="K143" s="1"/>
      <x:c r="L143" s="1"/>
    </x:row>
    <x:row r="144" ht="22" customHeight="1">
      <x:c r="A144" s="8" t="n">
        <x:v>331</x:v>
      </x:c>
      <x:c r="B144" s="6" t="n">
        <x:v>44969</x:v>
      </x:c>
      <x:c r="C144" s="2" t="str">
        <x:v>Электроника</x:v>
      </x:c>
      <x:c r="D144" s="2" t="str">
        <x:v>Планшет</x:v>
      </x:c>
      <x:c r="E144" s="7" t="n">
        <x:v>116169.33</x:v>
      </x:c>
      <x:c r="F144" s="9" t="n">
        <x:v>7</x:v>
      </x:c>
      <x:c r="G144" s="2" t="str">
        <x:v>Москва</x:v>
      </x:c>
      <x:c r="H144" s="7" t="n">
        <x:f>E144*F144</x:f>
        <x:v>813185.31</x:v>
      </x:c>
      <x:c r="I144" s="2" t="str">
        <x:f>TEXT(B144,"yyyy-mm")</x:f>
        <x:v>2023-02</x:v>
      </x:c>
      <x:c r="J144" s="8" t="n">
        <x:f>COUNTIFS($H$2:$H$1201,"&gt;"&amp;H144)+COUNTIFS($H$2:H144,H144)</x:f>
        <x:v>186</x:v>
      </x:c>
      <x:c r="K144" s="1"/>
      <x:c r="L144" s="1"/>
    </x:row>
    <x:row r="145" ht="22" customHeight="1">
      <x:c r="A145" s="8" t="n">
        <x:v>598</x:v>
      </x:c>
      <x:c r="B145" s="6" t="n">
        <x:v>44969</x:v>
      </x:c>
      <x:c r="C145" s="2" t="str">
        <x:v>Продукты</x:v>
      </x:c>
      <x:c r="D145" s="2" t="str">
        <x:v>Молоко</x:v>
      </x:c>
      <x:c r="E145" s="7" t="n">
        <x:v>75720.55</x:v>
      </x:c>
      <x:c r="F145" s="9" t="n">
        <x:v>8</x:v>
      </x:c>
      <x:c r="G145" s="2" t="str">
        <x:v>Санкт‑Петербург</x:v>
      </x:c>
      <x:c r="H145" s="7" t="n">
        <x:f>E145*F145</x:f>
        <x:v>605764.4</x:v>
      </x:c>
      <x:c r="I145" s="2" t="str">
        <x:f>TEXT(B145,"yyyy-mm")</x:f>
        <x:v>2023-02</x:v>
      </x:c>
      <x:c r="J145" s="8" t="n">
        <x:f>COUNTIFS($H$2:$H$1201,"&gt;"&amp;H145)+COUNTIFS($H$2:H145,H145)</x:f>
        <x:v>314</x:v>
      </x:c>
      <x:c r="K145" s="1"/>
      <x:c r="L145" s="1"/>
    </x:row>
    <x:row r="146" ht="22" customHeight="1">
      <x:c r="A146" s="8" t="n">
        <x:v>979</x:v>
      </x:c>
      <x:c r="B146" s="6" t="n">
        <x:v>44969</x:v>
      </x:c>
      <x:c r="C146" s="2" t="str">
        <x:v>Продукты</x:v>
      </x:c>
      <x:c r="D146" s="2" t="str">
        <x:v>Кофе</x:v>
      </x:c>
      <x:c r="E146" s="7" t="n">
        <x:v>91165.67</x:v>
      </x:c>
      <x:c r="F146" s="9" t="n">
        <x:v>9</x:v>
      </x:c>
      <x:c r="G146" s="2" t="str">
        <x:v>Екатеринбург</x:v>
      </x:c>
      <x:c r="H146" s="7" t="n">
        <x:f>E146*F146</x:f>
        <x:v>820491.03</x:v>
      </x:c>
      <x:c r="I146" s="2" t="str">
        <x:f>TEXT(B146,"yyyy-mm")</x:f>
        <x:v>2023-02</x:v>
      </x:c>
      <x:c r="J146" s="8" t="n">
        <x:f>COUNTIFS($H$2:$H$1201,"&gt;"&amp;H146)+COUNTIFS($H$2:H146,H146)</x:f>
        <x:v>182</x:v>
      </x:c>
      <x:c r="K146" s="1"/>
      <x:c r="L146" s="1"/>
    </x:row>
    <x:row r="147" ht="22" customHeight="1">
      <x:c r="A147" s="8" t="n">
        <x:v>138</x:v>
      </x:c>
      <x:c r="B147" s="6" t="n">
        <x:v>44970</x:v>
      </x:c>
      <x:c r="C147" s="2" t="str">
        <x:v>Товары для дома</x:v>
      </x:c>
      <x:c r="D147" s="2" t="str">
        <x:v>Подушка</x:v>
      </x:c>
      <x:c r="E147" s="7" t="n">
        <x:v>19242.85</x:v>
      </x:c>
      <x:c r="F147" s="9" t="n">
        <x:v>1</x:v>
      </x:c>
      <x:c r="G147" s="2" t="str">
        <x:v>Москва</x:v>
      </x:c>
      <x:c r="H147" s="7" t="n">
        <x:f>E147*F147</x:f>
        <x:v>19242.85</x:v>
      </x:c>
      <x:c r="I147" s="2" t="str">
        <x:f>TEXT(B147,"yyyy-mm")</x:f>
        <x:v>2023-02</x:v>
      </x:c>
      <x:c r="J147" s="8" t="n">
        <x:f>COUNTIFS($H$2:$H$1201,"&gt;"&amp;H147)+COUNTIFS($H$2:H147,H147)</x:f>
        <x:v>1155</x:v>
      </x:c>
      <x:c r="K147" s="1"/>
      <x:c r="L147" s="1"/>
    </x:row>
    <x:row r="148" ht="22" customHeight="1">
      <x:c r="A148" s="8" t="n">
        <x:v>403</x:v>
      </x:c>
      <x:c r="B148" s="6" t="n">
        <x:v>44970</x:v>
      </x:c>
      <x:c r="C148" s="2" t="str">
        <x:v>Товары для дома</x:v>
      </x:c>
      <x:c r="D148" s="2" t="str">
        <x:v>Подушка</x:v>
      </x:c>
      <x:c r="E148" s="7" t="n">
        <x:v>78668.31</x:v>
      </x:c>
      <x:c r="F148" s="9" t="n">
        <x:v>4</x:v>
      </x:c>
      <x:c r="G148" s="2" t="str">
        <x:v>Екатеринбург</x:v>
      </x:c>
      <x:c r="H148" s="7" t="n">
        <x:f>E148*F148</x:f>
        <x:v>314673.24</x:v>
      </x:c>
      <x:c r="I148" s="2" t="str">
        <x:f>TEXT(B148,"yyyy-mm")</x:f>
        <x:v>2023-02</x:v>
      </x:c>
      <x:c r="J148" s="8" t="n">
        <x:f>COUNTIFS($H$2:$H$1201,"&gt;"&amp;H148)+COUNTIFS($H$2:H148,H148)</x:f>
        <x:v>622</x:v>
      </x:c>
      <x:c r="K148" s="1"/>
      <x:c r="L148" s="1"/>
    </x:row>
    <x:row r="149" ht="22" customHeight="1">
      <x:c r="A149" s="8" t="n">
        <x:v>44</x:v>
      </x:c>
      <x:c r="B149" s="6" t="n">
        <x:v>44971</x:v>
      </x:c>
      <x:c r="C149" s="2" t="str">
        <x:v>Товары для дома</x:v>
      </x:c>
      <x:c r="D149" s="2" t="str">
        <x:v>Кружка</x:v>
      </x:c>
      <x:c r="E149" s="7" t="n">
        <x:v>91037.15</x:v>
      </x:c>
      <x:c r="F149" s="9" t="n">
        <x:v>5</x:v>
      </x:c>
      <x:c r="G149" s="2" t="str">
        <x:v>Московская область</x:v>
      </x:c>
      <x:c r="H149" s="7" t="n">
        <x:f>E149*F149</x:f>
        <x:v>455185.75</x:v>
      </x:c>
      <x:c r="I149" s="2" t="str">
        <x:f>TEXT(B149,"yyyy-mm")</x:f>
        <x:v>2023-02</x:v>
      </x:c>
      <x:c r="J149" s="8" t="n">
        <x:f>COUNTIFS($H$2:$H$1201,"&gt;"&amp;H149)+COUNTIFS($H$2:H149,H149)</x:f>
        <x:v>446</x:v>
      </x:c>
      <x:c r="K149" s="1"/>
      <x:c r="L149" s="1"/>
    </x:row>
    <x:row r="150" ht="22" customHeight="1">
      <x:c r="A150" s="8" t="n">
        <x:v>161</x:v>
      </x:c>
      <x:c r="B150" s="6" t="n">
        <x:v>44971</x:v>
      </x:c>
      <x:c r="C150" s="2" t="str">
        <x:v>Электроника</x:v>
      </x:c>
      <x:c r="D150" s="2" t="str">
        <x:v>Наушники</x:v>
      </x:c>
      <x:c r="E150" s="7" t="n">
        <x:v>134279.8</x:v>
      </x:c>
      <x:c r="F150" s="9" t="n">
        <x:v>6</x:v>
      </x:c>
      <x:c r="G150" s="2" t="str">
        <x:v>Екатеринбург</x:v>
      </x:c>
      <x:c r="H150" s="7" t="n">
        <x:f>E150*F150</x:f>
        <x:v>805678.7999999999</x:v>
      </x:c>
      <x:c r="I150" s="2" t="str">
        <x:f>TEXT(B150,"yyyy-mm")</x:f>
        <x:v>2023-02</x:v>
      </x:c>
      <x:c r="J150" s="8" t="n">
        <x:f>COUNTIFS($H$2:$H$1201,"&gt;"&amp;H150)+COUNTIFS($H$2:H150,H150)</x:f>
        <x:v>190</x:v>
      </x:c>
      <x:c r="K150" s="1"/>
      <x:c r="L150" s="1"/>
    </x:row>
    <x:row r="151" ht="22" customHeight="1">
      <x:c r="A151" s="8" t="n">
        <x:v>242</x:v>
      </x:c>
      <x:c r="B151" s="6" t="n">
        <x:v>44971</x:v>
      </x:c>
      <x:c r="C151" s="2" t="str">
        <x:v>Товары для дома</x:v>
      </x:c>
      <x:c r="D151" s="2" t="str">
        <x:v>Плед</x:v>
      </x:c>
      <x:c r="E151" s="7" t="n">
        <x:v>29836.83</x:v>
      </x:c>
      <x:c r="F151" s="9" t="n">
        <x:v>8</x:v>
      </x:c>
      <x:c r="G151" s="2" t="str">
        <x:v>Москва</x:v>
      </x:c>
      <x:c r="H151" s="7" t="n">
        <x:f>E151*F151</x:f>
        <x:v>238694.64</x:v>
      </x:c>
      <x:c r="I151" s="2" t="str">
        <x:f>TEXT(B151,"yyyy-mm")</x:f>
        <x:v>2023-02</x:v>
      </x:c>
      <x:c r="J151" s="8" t="n">
        <x:f>COUNTIFS($H$2:$H$1201,"&gt;"&amp;H151)+COUNTIFS($H$2:H151,H151)</x:f>
        <x:v>725</x:v>
      </x:c>
      <x:c r="K151" s="1"/>
      <x:c r="L151" s="1"/>
    </x:row>
    <x:row r="152" ht="22" customHeight="1">
      <x:c r="A152" s="8" t="n">
        <x:v>287</x:v>
      </x:c>
      <x:c r="B152" s="6" t="n">
        <x:v>44971</x:v>
      </x:c>
      <x:c r="C152" s="2" t="str">
        <x:v>Одежда</x:v>
      </x:c>
      <x:c r="D152" s="2" t="str">
        <x:v>Футболка</x:v>
      </x:c>
      <x:c r="E152" s="7" t="n">
        <x:v>11240.11</x:v>
      </x:c>
      <x:c r="F152" s="9" t="n">
        <x:v>8</x:v>
      </x:c>
      <x:c r="G152" s="2" t="str">
        <x:v>Москва</x:v>
      </x:c>
      <x:c r="H152" s="7" t="n">
        <x:f>E152*F152</x:f>
        <x:v>89920.88</x:v>
      </x:c>
      <x:c r="I152" s="2" t="str">
        <x:f>TEXT(B152,"yyyy-mm")</x:f>
        <x:v>2023-02</x:v>
      </x:c>
      <x:c r="J152" s="8" t="n">
        <x:f>COUNTIFS($H$2:$H$1201,"&gt;"&amp;H152)+COUNTIFS($H$2:H152,H152)</x:f>
        <x:v>991</x:v>
      </x:c>
      <x:c r="K152" s="1"/>
      <x:c r="L152" s="1"/>
    </x:row>
    <x:row r="153" ht="22" customHeight="1">
      <x:c r="A153" s="8" t="n">
        <x:v>782</x:v>
      </x:c>
      <x:c r="B153" s="6" t="n">
        <x:v>44971</x:v>
      </x:c>
      <x:c r="C153" s="2" t="str">
        <x:v>Товары для дома</x:v>
      </x:c>
      <x:c r="D153" s="2" t="str">
        <x:v>Подушка</x:v>
      </x:c>
      <x:c r="E153" s="7" t="n">
        <x:v>25568.45</x:v>
      </x:c>
      <x:c r="F153" s="9" t="n">
        <x:v>10</x:v>
      </x:c>
      <x:c r="G153" s="2" t="str">
        <x:v>Санкт‑Петербург</x:v>
      </x:c>
      <x:c r="H153" s="7" t="n">
        <x:f>E153*F153</x:f>
        <x:v>255684.5</x:v>
      </x:c>
      <x:c r="I153" s="2" t="str">
        <x:f>TEXT(B153,"yyyy-mm")</x:f>
        <x:v>2023-02</x:v>
      </x:c>
      <x:c r="J153" s="8" t="n">
        <x:f>COUNTIFS($H$2:$H$1201,"&gt;"&amp;H153)+COUNTIFS($H$2:H153,H153)</x:f>
        <x:v>693</x:v>
      </x:c>
      <x:c r="K153" s="1"/>
      <x:c r="L153" s="1"/>
    </x:row>
    <x:row r="154" ht="22" customHeight="1">
      <x:c r="A154" s="8" t="n">
        <x:v>721</x:v>
      </x:c>
      <x:c r="B154" s="6" t="n">
        <x:v>44972</x:v>
      </x:c>
      <x:c r="C154" s="2" t="str">
        <x:v>Одежда</x:v>
      </x:c>
      <x:c r="D154" s="2" t="str">
        <x:v>Джинсы</x:v>
      </x:c>
      <x:c r="E154" s="7" t="n">
        <x:v>93233.18</x:v>
      </x:c>
      <x:c r="F154" s="9" t="n">
        <x:v>3</x:v>
      </x:c>
      <x:c r="G154" s="2" t="str">
        <x:v>Санкт‑Петербург</x:v>
      </x:c>
      <x:c r="H154" s="7" t="n">
        <x:f>E154*F154</x:f>
        <x:v>279699.54</x:v>
      </x:c>
      <x:c r="I154" s="2" t="str">
        <x:f>TEXT(B154,"yyyy-mm")</x:f>
        <x:v>2023-02</x:v>
      </x:c>
      <x:c r="J154" s="8" t="n">
        <x:f>COUNTIFS($H$2:$H$1201,"&gt;"&amp;H154)+COUNTIFS($H$2:H154,H154)</x:f>
        <x:v>658</x:v>
      </x:c>
      <x:c r="K154" s="1"/>
      <x:c r="L154" s="1"/>
    </x:row>
    <x:row r="155" ht="22" customHeight="1">
      <x:c r="A155" s="8" t="n">
        <x:v>1140</x:v>
      </x:c>
      <x:c r="B155" s="6" t="n">
        <x:v>44972</x:v>
      </x:c>
      <x:c r="C155" s="2" t="str">
        <x:v>Одежда</x:v>
      </x:c>
      <x:c r="D155" s="2" t="str">
        <x:v>Джинсы</x:v>
      </x:c>
      <x:c r="E155" s="7" t="n">
        <x:v>123572.47</x:v>
      </x:c>
      <x:c r="F155" s="9" t="n">
        <x:v>1</x:v>
      </x:c>
      <x:c r="G155" s="2" t="str">
        <x:v>Московская область</x:v>
      </x:c>
      <x:c r="H155" s="7" t="n">
        <x:f>E155*F155</x:f>
        <x:v>123572.47</x:v>
      </x:c>
      <x:c r="I155" s="2" t="str">
        <x:f>TEXT(B155,"yyyy-mm")</x:f>
        <x:v>2023-02</x:v>
      </x:c>
      <x:c r="J155" s="8" t="n">
        <x:f>COUNTIFS($H$2:$H$1201,"&gt;"&amp;H155)+COUNTIFS($H$2:H155,H155)</x:f>
        <x:v>919</x:v>
      </x:c>
      <x:c r="K155" s="1"/>
      <x:c r="L155" s="1"/>
    </x:row>
    <x:row r="156" ht="22" customHeight="1">
      <x:c r="A156" s="8" t="n">
        <x:v>827</x:v>
      </x:c>
      <x:c r="B156" s="6" t="n">
        <x:v>44973</x:v>
      </x:c>
      <x:c r="C156" s="2" t="str">
        <x:v>Продукты</x:v>
      </x:c>
      <x:c r="D156" s="2" t="str">
        <x:v>Шоколад</x:v>
      </x:c>
      <x:c r="E156" s="7" t="n">
        <x:v>142290.94</x:v>
      </x:c>
      <x:c r="F156" s="9" t="n">
        <x:v>6</x:v>
      </x:c>
      <x:c r="G156" s="2" t="str">
        <x:v>Екатеринбург</x:v>
      </x:c>
      <x:c r="H156" s="7" t="n">
        <x:f>E156*F156</x:f>
        <x:v>853745.64</x:v>
      </x:c>
      <x:c r="I156" s="2" t="str">
        <x:f>TEXT(B156,"yyyy-mm")</x:f>
        <x:v>2023-02</x:v>
      </x:c>
      <x:c r="J156" s="8" t="n">
        <x:f>COUNTIFS($H$2:$H$1201,"&gt;"&amp;H156)+COUNTIFS($H$2:H156,H156)</x:f>
        <x:v>163</x:v>
      </x:c>
      <x:c r="K156" s="1"/>
      <x:c r="L156" s="1"/>
    </x:row>
    <x:row r="157" ht="22" customHeight="1">
      <x:c r="A157" s="8" t="n">
        <x:v>1093</x:v>
      </x:c>
      <x:c r="B157" s="6" t="n">
        <x:v>44973</x:v>
      </x:c>
      <x:c r="C157" s="2" t="str">
        <x:v>Продукты</x:v>
      </x:c>
      <x:c r="D157" s="2" t="str">
        <x:v>Молоко</x:v>
      </x:c>
      <x:c r="E157" s="7" t="n">
        <x:v>129419.45</x:v>
      </x:c>
      <x:c r="F157" s="9" t="n">
        <x:v>1</x:v>
      </x:c>
      <x:c r="G157" s="2" t="str">
        <x:v>Санкт‑Петербург</x:v>
      </x:c>
      <x:c r="H157" s="7" t="n">
        <x:f>E157*F157</x:f>
        <x:v>129419.45</x:v>
      </x:c>
      <x:c r="I157" s="2" t="str">
        <x:f>TEXT(B157,"yyyy-mm")</x:f>
        <x:v>2023-02</x:v>
      </x:c>
      <x:c r="J157" s="8" t="n">
        <x:f>COUNTIFS($H$2:$H$1201,"&gt;"&amp;H157)+COUNTIFS($H$2:H157,H157)</x:f>
        <x:v>905</x:v>
      </x:c>
      <x:c r="K157" s="1"/>
      <x:c r="L157" s="1"/>
    </x:row>
    <x:row r="158" ht="22" customHeight="1">
      <x:c r="A158" s="8" t="n">
        <x:v>81</x:v>
      </x:c>
      <x:c r="B158" s="6" t="n">
        <x:v>44974</x:v>
      </x:c>
      <x:c r="C158" s="2" t="str">
        <x:v>Одежда</x:v>
      </x:c>
      <x:c r="D158" s="2" t="str">
        <x:v>Джинсы</x:v>
      </x:c>
      <x:c r="E158" s="7" t="n">
        <x:v>1652</x:v>
      </x:c>
      <x:c r="F158" s="9" t="n">
        <x:v>9</x:v>
      </x:c>
      <x:c r="G158" s="2" t="str">
        <x:v>Екатеринбург</x:v>
      </x:c>
      <x:c r="H158" s="7" t="n">
        <x:f>E158*F158</x:f>
        <x:v>14868</x:v>
      </x:c>
      <x:c r="I158" s="2" t="str">
        <x:f>TEXT(B158,"yyyy-mm")</x:f>
        <x:v>2023-02</x:v>
      </x:c>
      <x:c r="J158" s="8" t="n">
        <x:f>COUNTIFS($H$2:$H$1201,"&gt;"&amp;H158)+COUNTIFS($H$2:H158,H158)</x:f>
        <x:v>1168</x:v>
      </x:c>
      <x:c r="K158" s="1"/>
      <x:c r="L158" s="1"/>
    </x:row>
    <x:row r="159" ht="22" customHeight="1">
      <x:c r="A159" s="8" t="n">
        <x:v>28</x:v>
      </x:c>
      <x:c r="B159" s="6" t="n">
        <x:v>44975</x:v>
      </x:c>
      <x:c r="C159" s="2" t="str">
        <x:v>Продукты</x:v>
      </x:c>
      <x:c r="D159" s="2" t="str">
        <x:v>Кофе</x:v>
      </x:c>
      <x:c r="E159" s="7" t="n">
        <x:v>149424.18</x:v>
      </x:c>
      <x:c r="F159" s="9" t="n">
        <x:v>3</x:v>
      </x:c>
      <x:c r="G159" s="2" t="str">
        <x:v>Казань</x:v>
      </x:c>
      <x:c r="H159" s="7" t="n">
        <x:f>E159*F159</x:f>
        <x:v>448272.54</x:v>
      </x:c>
      <x:c r="I159" s="2" t="str">
        <x:f>TEXT(B159,"yyyy-mm")</x:f>
        <x:v>2023-02</x:v>
      </x:c>
      <x:c r="J159" s="8" t="n">
        <x:f>COUNTIFS($H$2:$H$1201,"&gt;"&amp;H159)+COUNTIFS($H$2:H159,H159)</x:f>
        <x:v>454</x:v>
      </x:c>
      <x:c r="K159" s="1"/>
      <x:c r="L159" s="1"/>
    </x:row>
    <x:row r="160" ht="22" customHeight="1">
      <x:c r="A160" s="8" t="n">
        <x:v>564</x:v>
      </x:c>
      <x:c r="B160" s="6" t="n">
        <x:v>44975</x:v>
      </x:c>
      <x:c r="C160" s="2" t="str">
        <x:v>Одежда</x:v>
      </x:c>
      <x:c r="D160" s="2" t="str">
        <x:v>Куртка</x:v>
      </x:c>
      <x:c r="E160" s="7" t="n">
        <x:v>40048.67</x:v>
      </x:c>
      <x:c r="F160" s="9" t="n">
        <x:v>9</x:v>
      </x:c>
      <x:c r="G160" s="2" t="str">
        <x:v>Санкт‑Петербург</x:v>
      </x:c>
      <x:c r="H160" s="7" t="n">
        <x:f>E160*F160</x:f>
        <x:v>360438.02999999997</x:v>
      </x:c>
      <x:c r="I160" s="2" t="str">
        <x:f>TEXT(B160,"yyyy-mm")</x:f>
        <x:v>2023-02</x:v>
      </x:c>
      <x:c r="J160" s="8" t="n">
        <x:f>COUNTIFS($H$2:$H$1201,"&gt;"&amp;H160)+COUNTIFS($H$2:H160,H160)</x:f>
        <x:v>573</x:v>
      </x:c>
      <x:c r="K160" s="1"/>
      <x:c r="L160" s="1"/>
    </x:row>
    <x:row r="161" ht="22" customHeight="1">
      <x:c r="A161" s="8" t="n">
        <x:v>624</x:v>
      </x:c>
      <x:c r="B161" s="6" t="n">
        <x:v>44975</x:v>
      </x:c>
      <x:c r="C161" s="2" t="str">
        <x:v>Товары для дома</x:v>
      </x:c>
      <x:c r="D161" s="2" t="str">
        <x:v>Полотенце</x:v>
      </x:c>
      <x:c r="E161" s="7" t="n">
        <x:v>8596.57</x:v>
      </x:c>
      <x:c r="F161" s="9" t="n">
        <x:v>1</x:v>
      </x:c>
      <x:c r="G161" s="2" t="str">
        <x:v>Москва</x:v>
      </x:c>
      <x:c r="H161" s="7" t="n">
        <x:f>E161*F161</x:f>
        <x:v>8596.57</x:v>
      </x:c>
      <x:c r="I161" s="2" t="str">
        <x:f>TEXT(B161,"yyyy-mm")</x:f>
        <x:v>2023-02</x:v>
      </x:c>
      <x:c r="J161" s="8" t="n">
        <x:f>COUNTIFS($H$2:$H$1201,"&gt;"&amp;H161)+COUNTIFS($H$2:H161,H161)</x:f>
        <x:v>1185</x:v>
      </x:c>
      <x:c r="K161" s="1"/>
      <x:c r="L161" s="1"/>
    </x:row>
    <x:row r="162" ht="22" customHeight="1">
      <x:c r="A162" s="8" t="n">
        <x:v>1118</x:v>
      </x:c>
      <x:c r="B162" s="6" t="n">
        <x:v>44975</x:v>
      </x:c>
      <x:c r="C162" s="2" t="str">
        <x:v>Электроника</x:v>
      </x:c>
      <x:c r="D162" s="2" t="str">
        <x:v>Ноутбук</x:v>
      </x:c>
      <x:c r="E162" s="7" t="n">
        <x:v>31616.66</x:v>
      </x:c>
      <x:c r="F162" s="9" t="n">
        <x:v>9</x:v>
      </x:c>
      <x:c r="G162" s="2" t="str">
        <x:v>Санкт‑Петербург</x:v>
      </x:c>
      <x:c r="H162" s="7" t="n">
        <x:f>E162*F162</x:f>
        <x:v>284549.94</x:v>
      </x:c>
      <x:c r="I162" s="2" t="str">
        <x:f>TEXT(B162,"yyyy-mm")</x:f>
        <x:v>2023-02</x:v>
      </x:c>
      <x:c r="J162" s="8" t="n">
        <x:f>COUNTIFS($H$2:$H$1201,"&gt;"&amp;H162)+COUNTIFS($H$2:H162,H162)</x:f>
        <x:v>649</x:v>
      </x:c>
      <x:c r="K162" s="1"/>
      <x:c r="L162" s="1"/>
    </x:row>
    <x:row r="163" ht="22" customHeight="1">
      <x:c r="A163" s="8" t="n">
        <x:v>165</x:v>
      </x:c>
      <x:c r="B163" s="6" t="n">
        <x:v>44977</x:v>
      </x:c>
      <x:c r="C163" s="2" t="str">
        <x:v>Одежда</x:v>
      </x:c>
      <x:c r="D163" s="2" t="str">
        <x:v>Куртка</x:v>
      </x:c>
      <x:c r="E163" s="7" t="n">
        <x:v>33967.68</x:v>
      </x:c>
      <x:c r="F163" s="9" t="n">
        <x:v>1</x:v>
      </x:c>
      <x:c r="G163" s="2" t="str">
        <x:v>Москва</x:v>
      </x:c>
      <x:c r="H163" s="7" t="n">
        <x:f>E163*F163</x:f>
        <x:v>33967.68</x:v>
      </x:c>
      <x:c r="I163" s="2" t="str">
        <x:f>TEXT(B163,"yyyy-mm")</x:f>
        <x:v>2023-02</x:v>
      </x:c>
      <x:c r="J163" s="8" t="n">
        <x:f>COUNTIFS($H$2:$H$1201,"&gt;"&amp;H163)+COUNTIFS($H$2:H163,H163)</x:f>
        <x:v>1117</x:v>
      </x:c>
      <x:c r="K163" s="1"/>
      <x:c r="L163" s="1"/>
    </x:row>
    <x:row r="164" ht="22" customHeight="1">
      <x:c r="A164" s="8" t="n">
        <x:v>699</x:v>
      </x:c>
      <x:c r="B164" s="6" t="n">
        <x:v>44977</x:v>
      </x:c>
      <x:c r="C164" s="2" t="str">
        <x:v>Продукты</x:v>
      </x:c>
      <x:c r="D164" s="2" t="str">
        <x:v>Хлеб</x:v>
      </x:c>
      <x:c r="E164" s="7" t="n">
        <x:v>64623.12</x:v>
      </x:c>
      <x:c r="F164" s="9" t="n">
        <x:v>7</x:v>
      </x:c>
      <x:c r="G164" s="2" t="str">
        <x:v>Екатеринбург</x:v>
      </x:c>
      <x:c r="H164" s="7" t="n">
        <x:f>E164*F164</x:f>
        <x:v>452361.84</x:v>
      </x:c>
      <x:c r="I164" s="2" t="str">
        <x:f>TEXT(B164,"yyyy-mm")</x:f>
        <x:v>2023-02</x:v>
      </x:c>
      <x:c r="J164" s="8" t="n">
        <x:f>COUNTIFS($H$2:$H$1201,"&gt;"&amp;H164)+COUNTIFS($H$2:H164,H164)</x:f>
        <x:v>449</x:v>
      </x:c>
      <x:c r="K164" s="1"/>
      <x:c r="L164" s="1"/>
    </x:row>
    <x:row r="165" ht="22" customHeight="1">
      <x:c r="A165" s="8" t="n">
        <x:v>881</x:v>
      </x:c>
      <x:c r="B165" s="6" t="n">
        <x:v>44977</x:v>
      </x:c>
      <x:c r="C165" s="2" t="str">
        <x:v>Одежда</x:v>
      </x:c>
      <x:c r="D165" s="2" t="str">
        <x:v>Куртка</x:v>
      </x:c>
      <x:c r="E165" s="7" t="n">
        <x:v>108918.44</x:v>
      </x:c>
      <x:c r="F165" s="9" t="n">
        <x:v>4</x:v>
      </x:c>
      <x:c r="G165" s="2" t="str">
        <x:v>Екатеринбург</x:v>
      </x:c>
      <x:c r="H165" s="7" t="n">
        <x:f>E165*F165</x:f>
        <x:v>435673.76</x:v>
      </x:c>
      <x:c r="I165" s="2" t="str">
        <x:f>TEXT(B165,"yyyy-mm")</x:f>
        <x:v>2023-02</x:v>
      </x:c>
      <x:c r="J165" s="8" t="n">
        <x:f>COUNTIFS($H$2:$H$1201,"&gt;"&amp;H165)+COUNTIFS($H$2:H165,H165)</x:f>
        <x:v>477</x:v>
      </x:c>
      <x:c r="K165" s="1"/>
      <x:c r="L165" s="1"/>
    </x:row>
    <x:row r="166" ht="22" customHeight="1">
      <x:c r="A166" s="8" t="n">
        <x:v>1138</x:v>
      </x:c>
      <x:c r="B166" s="6" t="n">
        <x:v>44977</x:v>
      </x:c>
      <x:c r="C166" s="2" t="str">
        <x:v>Товары для дома</x:v>
      </x:c>
      <x:c r="D166" s="2" t="str">
        <x:v>Кружка</x:v>
      </x:c>
      <x:c r="E166" s="7" t="n">
        <x:v>13168.07</x:v>
      </x:c>
      <x:c r="F166" s="9" t="n">
        <x:v>2</x:v>
      </x:c>
      <x:c r="G166" s="2" t="str">
        <x:v>Новосибирск</x:v>
      </x:c>
      <x:c r="H166" s="7" t="n">
        <x:f>E166*F166</x:f>
        <x:v>26336.14</x:v>
      </x:c>
      <x:c r="I166" s="2" t="str">
        <x:f>TEXT(B166,"yyyy-mm")</x:f>
        <x:v>2023-02</x:v>
      </x:c>
      <x:c r="J166" s="8" t="n">
        <x:f>COUNTIFS($H$2:$H$1201,"&gt;"&amp;H166)+COUNTIFS($H$2:H166,H166)</x:f>
        <x:v>1138</x:v>
      </x:c>
      <x:c r="K166" s="1"/>
      <x:c r="L166" s="1"/>
    </x:row>
    <x:row r="167" ht="22" customHeight="1">
      <x:c r="A167" s="8" t="n">
        <x:v>238</x:v>
      </x:c>
      <x:c r="B167" s="6" t="n">
        <x:v>44978</x:v>
      </x:c>
      <x:c r="C167" s="2" t="str">
        <x:v>Продукты</x:v>
      </x:c>
      <x:c r="D167" s="2" t="str">
        <x:v>Шоколад</x:v>
      </x:c>
      <x:c r="E167" s="7" t="n">
        <x:v>79396.51</x:v>
      </x:c>
      <x:c r="F167" s="9" t="n">
        <x:v>5</x:v>
      </x:c>
      <x:c r="G167" s="2" t="str">
        <x:v>Новосибирск</x:v>
      </x:c>
      <x:c r="H167" s="7" t="n">
        <x:f>E167*F167</x:f>
        <x:v>396982.55</x:v>
      </x:c>
      <x:c r="I167" s="2" t="str">
        <x:f>TEXT(B167,"yyyy-mm")</x:f>
        <x:v>2023-02</x:v>
      </x:c>
      <x:c r="J167" s="8" t="n">
        <x:f>COUNTIFS($H$2:$H$1201,"&gt;"&amp;H167)+COUNTIFS($H$2:H167,H167)</x:f>
        <x:v>522</x:v>
      </x:c>
      <x:c r="K167" s="1"/>
      <x:c r="L167" s="1"/>
    </x:row>
    <x:row r="168" ht="22" customHeight="1">
      <x:c r="A168" s="8" t="n">
        <x:v>290</x:v>
      </x:c>
      <x:c r="B168" s="6" t="n">
        <x:v>44978</x:v>
      </x:c>
      <x:c r="C168" s="2" t="str">
        <x:v>Товары для дома</x:v>
      </x:c>
      <x:c r="D168" s="2" t="str">
        <x:v>Кружка</x:v>
      </x:c>
      <x:c r="E168" s="7" t="n">
        <x:v>44360.85</x:v>
      </x:c>
      <x:c r="F168" s="9" t="n">
        <x:v>4</x:v>
      </x:c>
      <x:c r="G168" s="2" t="str">
        <x:v>Екатеринбург</x:v>
      </x:c>
      <x:c r="H168" s="7" t="n">
        <x:f>E168*F168</x:f>
        <x:v>177443.4</x:v>
      </x:c>
      <x:c r="I168" s="2" t="str">
        <x:f>TEXT(B168,"yyyy-mm")</x:f>
        <x:v>2023-02</x:v>
      </x:c>
      <x:c r="J168" s="8" t="n">
        <x:f>COUNTIFS($H$2:$H$1201,"&gt;"&amp;H168)+COUNTIFS($H$2:H168,H168)</x:f>
        <x:v>815</x:v>
      </x:c>
      <x:c r="K168" s="1"/>
      <x:c r="L168" s="1"/>
    </x:row>
    <x:row r="169" ht="22" customHeight="1">
      <x:c r="A169" s="8" t="n">
        <x:v>472</x:v>
      </x:c>
      <x:c r="B169" s="6" t="n">
        <x:v>44978</x:v>
      </x:c>
      <x:c r="C169" s="2" t="str">
        <x:v>Электроника</x:v>
      </x:c>
      <x:c r="D169" s="2" t="str">
        <x:v>Смартфон</x:v>
      </x:c>
      <x:c r="E169" s="7" t="n">
        <x:v>73969.65</x:v>
      </x:c>
      <x:c r="F169" s="9" t="n">
        <x:v>10</x:v>
      </x:c>
      <x:c r="G169" s="2" t="str">
        <x:v>Москва</x:v>
      </x:c>
      <x:c r="H169" s="7" t="n">
        <x:f>E169*F169</x:f>
        <x:v>739696.5</x:v>
      </x:c>
      <x:c r="I169" s="2" t="str">
        <x:f>TEXT(B169,"yyyy-mm")</x:f>
        <x:v>2023-02</x:v>
      </x:c>
      <x:c r="J169" s="8" t="n">
        <x:f>COUNTIFS($H$2:$H$1201,"&gt;"&amp;H169)+COUNTIFS($H$2:H169,H169)</x:f>
        <x:v>231</x:v>
      </x:c>
      <x:c r="K169" s="1"/>
      <x:c r="L169" s="1"/>
    </x:row>
    <x:row r="170" ht="22" customHeight="1">
      <x:c r="A170" s="8" t="n">
        <x:v>91</x:v>
      </x:c>
      <x:c r="B170" s="6" t="n">
        <x:v>44980</x:v>
      </x:c>
      <x:c r="C170" s="2" t="str">
        <x:v>Товары для дома</x:v>
      </x:c>
      <x:c r="D170" s="2" t="str">
        <x:v>Подушка</x:v>
      </x:c>
      <x:c r="E170" s="7" t="n">
        <x:v>24640.19</x:v>
      </x:c>
      <x:c r="F170" s="9" t="n">
        <x:v>6</x:v>
      </x:c>
      <x:c r="G170" s="2" t="str">
        <x:v>Казань</x:v>
      </x:c>
      <x:c r="H170" s="7" t="n">
        <x:f>E170*F170</x:f>
        <x:v>147841.13999999998</x:v>
      </x:c>
      <x:c r="I170" s="2" t="str">
        <x:f>TEXT(B170,"yyyy-mm")</x:f>
        <x:v>2023-02</x:v>
      </x:c>
      <x:c r="J170" s="8" t="n">
        <x:f>COUNTIFS($H$2:$H$1201,"&gt;"&amp;H170)+COUNTIFS($H$2:H170,H170)</x:f>
        <x:v>855</x:v>
      </x:c>
      <x:c r="K170" s="1"/>
      <x:c r="L170" s="1"/>
    </x:row>
    <x:row r="171" ht="22" customHeight="1">
      <x:c r="A171" s="8" t="n">
        <x:v>350</x:v>
      </x:c>
      <x:c r="B171" s="6" t="n">
        <x:v>44980</x:v>
      </x:c>
      <x:c r="C171" s="2" t="str">
        <x:v>Продукты</x:v>
      </x:c>
      <x:c r="D171" s="2" t="str">
        <x:v>Кофе</x:v>
      </x:c>
      <x:c r="E171" s="7" t="n">
        <x:v>101346.93</x:v>
      </x:c>
      <x:c r="F171" s="9" t="n">
        <x:v>5</x:v>
      </x:c>
      <x:c r="G171" s="2" t="str">
        <x:v>Московская область</x:v>
      </x:c>
      <x:c r="H171" s="7" t="n">
        <x:f>E171*F171</x:f>
        <x:v>506734.64999999997</x:v>
      </x:c>
      <x:c r="I171" s="2" t="str">
        <x:f>TEXT(B171,"yyyy-mm")</x:f>
        <x:v>2023-02</x:v>
      </x:c>
      <x:c r="J171" s="8" t="n">
        <x:f>COUNTIFS($H$2:$H$1201,"&gt;"&amp;H171)+COUNTIFS($H$2:H171,H171)</x:f>
        <x:v>402</x:v>
      </x:c>
      <x:c r="K171" s="1"/>
      <x:c r="L171" s="1"/>
    </x:row>
    <x:row r="172" ht="22" customHeight="1">
      <x:c r="A172" s="8" t="n">
        <x:v>443</x:v>
      </x:c>
      <x:c r="B172" s="6" t="n">
        <x:v>44980</x:v>
      </x:c>
      <x:c r="C172" s="2" t="str">
        <x:v>Электроника</x:v>
      </x:c>
      <x:c r="D172" s="2" t="str">
        <x:v>Смартфон</x:v>
      </x:c>
      <x:c r="E172" s="7" t="n">
        <x:v>143742.77</x:v>
      </x:c>
      <x:c r="F172" s="9" t="n">
        <x:v>1</x:v>
      </x:c>
      <x:c r="G172" s="2" t="str">
        <x:v>Москва</x:v>
      </x:c>
      <x:c r="H172" s="7" t="n">
        <x:f>E172*F172</x:f>
        <x:v>143742.77</x:v>
      </x:c>
      <x:c r="I172" s="2" t="str">
        <x:f>TEXT(B172,"yyyy-mm")</x:f>
        <x:v>2023-02</x:v>
      </x:c>
      <x:c r="J172" s="8" t="n">
        <x:f>COUNTIFS($H$2:$H$1201,"&gt;"&amp;H172)+COUNTIFS($H$2:H172,H172)</x:f>
        <x:v>869</x:v>
      </x:c>
      <x:c r="K172" s="1"/>
      <x:c r="L172" s="1"/>
    </x:row>
    <x:row r="173" ht="22" customHeight="1">
      <x:c r="A173" s="8" t="n">
        <x:v>566</x:v>
      </x:c>
      <x:c r="B173" s="6" t="n">
        <x:v>44980</x:v>
      </x:c>
      <x:c r="C173" s="2" t="str">
        <x:v>Электроника</x:v>
      </x:c>
      <x:c r="D173" s="2" t="str">
        <x:v>Наушники</x:v>
      </x:c>
      <x:c r="E173" s="7" t="n">
        <x:v>8096.67</x:v>
      </x:c>
      <x:c r="F173" s="9" t="n">
        <x:v>9</x:v>
      </x:c>
      <x:c r="G173" s="2" t="str">
        <x:v>Московская область</x:v>
      </x:c>
      <x:c r="H173" s="7" t="n">
        <x:f>E173*F173</x:f>
        <x:v>72870.03</x:v>
      </x:c>
      <x:c r="I173" s="2" t="str">
        <x:f>TEXT(B173,"yyyy-mm")</x:f>
        <x:v>2023-02</x:v>
      </x:c>
      <x:c r="J173" s="8" t="n">
        <x:f>COUNTIFS($H$2:$H$1201,"&gt;"&amp;H173)+COUNTIFS($H$2:H173,H173)</x:f>
        <x:v>1033</x:v>
      </x:c>
      <x:c r="K173" s="1"/>
      <x:c r="L173" s="1"/>
    </x:row>
    <x:row r="174" ht="22" customHeight="1">
      <x:c r="A174" s="8" t="n">
        <x:v>1156</x:v>
      </x:c>
      <x:c r="B174" s="6" t="n">
        <x:v>44980</x:v>
      </x:c>
      <x:c r="C174" s="2" t="str">
        <x:v>Товары для дома</x:v>
      </x:c>
      <x:c r="D174" s="2" t="str">
        <x:v>Кружка</x:v>
      </x:c>
      <x:c r="E174" s="7" t="n">
        <x:v>140813.76</x:v>
      </x:c>
      <x:c r="F174" s="9" t="n">
        <x:v>6</x:v>
      </x:c>
      <x:c r="G174" s="2" t="str">
        <x:v>Санкт‑Петербург</x:v>
      </x:c>
      <x:c r="H174" s="7" t="n">
        <x:f>E174*F174</x:f>
        <x:v>844882.56</x:v>
      </x:c>
      <x:c r="I174" s="2" t="str">
        <x:f>TEXT(B174,"yyyy-mm")</x:f>
        <x:v>2023-02</x:v>
      </x:c>
      <x:c r="J174" s="8" t="n">
        <x:f>COUNTIFS($H$2:$H$1201,"&gt;"&amp;H174)+COUNTIFS($H$2:H174,H174)</x:f>
        <x:v>169</x:v>
      </x:c>
      <x:c r="K174" s="1"/>
      <x:c r="L174" s="1"/>
    </x:row>
    <x:row r="175" ht="22" customHeight="1">
      <x:c r="A175" s="8" t="n">
        <x:v>16</x:v>
      </x:c>
      <x:c r="B175" s="6" t="n">
        <x:v>44981</x:v>
      </x:c>
      <x:c r="C175" s="2" t="str">
        <x:v>Электроника</x:v>
      </x:c>
      <x:c r="D175" s="2" t="str">
        <x:v>Планшет</x:v>
      </x:c>
      <x:c r="E175" s="7" t="n">
        <x:v>112807.74</x:v>
      </x:c>
      <x:c r="F175" s="9" t="n">
        <x:v>10</x:v>
      </x:c>
      <x:c r="G175" s="2" t="str">
        <x:v>Екатеринбург</x:v>
      </x:c>
      <x:c r="H175" s="7" t="n">
        <x:f>E175*F175</x:f>
        <x:v>1128077.4000000001</x:v>
      </x:c>
      <x:c r="I175" s="2" t="str">
        <x:f>TEXT(B175,"yyyy-mm")</x:f>
        <x:v>2023-02</x:v>
      </x:c>
      <x:c r="J175" s="8" t="n">
        <x:f>COUNTIFS($H$2:$H$1201,"&gt;"&amp;H175)+COUNTIFS($H$2:H175,H175)</x:f>
        <x:v>55</x:v>
      </x:c>
      <x:c r="K175" s="1"/>
      <x:c r="L175" s="1"/>
    </x:row>
    <x:row r="176" ht="22" customHeight="1">
      <x:c r="A176" s="8" t="n">
        <x:v>431</x:v>
      </x:c>
      <x:c r="B176" s="6" t="n">
        <x:v>44981</x:v>
      </x:c>
      <x:c r="C176" s="2" t="str">
        <x:v>Товары для дома</x:v>
      </x:c>
      <x:c r="D176" s="2" t="str">
        <x:v>Плед</x:v>
      </x:c>
      <x:c r="E176" s="7" t="n">
        <x:v>121036.93</x:v>
      </x:c>
      <x:c r="F176" s="9" t="n">
        <x:v>6</x:v>
      </x:c>
      <x:c r="G176" s="2" t="str">
        <x:v>Санкт‑Петербург</x:v>
      </x:c>
      <x:c r="H176" s="7" t="n">
        <x:f>E176*F176</x:f>
        <x:v>726221.58</x:v>
      </x:c>
      <x:c r="I176" s="2" t="str">
        <x:f>TEXT(B176,"yyyy-mm")</x:f>
        <x:v>2023-02</x:v>
      </x:c>
      <x:c r="J176" s="8" t="n">
        <x:f>COUNTIFS($H$2:$H$1201,"&gt;"&amp;H176)+COUNTIFS($H$2:H176,H176)</x:f>
        <x:v>244</x:v>
      </x:c>
      <x:c r="K176" s="1"/>
      <x:c r="L176" s="1"/>
    </x:row>
    <x:row r="177" ht="22" customHeight="1">
      <x:c r="A177" s="8" t="n">
        <x:v>280</x:v>
      </x:c>
      <x:c r="B177" s="6" t="n">
        <x:v>44982</x:v>
      </x:c>
      <x:c r="C177" s="2" t="str">
        <x:v>Товары для дома</x:v>
      </x:c>
      <x:c r="D177" s="2" t="str">
        <x:v>Плед</x:v>
      </x:c>
      <x:c r="E177" s="7" t="n">
        <x:v>11430.77</x:v>
      </x:c>
      <x:c r="F177" s="9" t="n">
        <x:v>5</x:v>
      </x:c>
      <x:c r="G177" s="2" t="str">
        <x:v>Москва</x:v>
      </x:c>
      <x:c r="H177" s="7" t="n">
        <x:f>E177*F177</x:f>
        <x:v>57153.850000000006</x:v>
      </x:c>
      <x:c r="I177" s="2" t="str">
        <x:f>TEXT(B177,"yyyy-mm")</x:f>
        <x:v>2023-02</x:v>
      </x:c>
      <x:c r="J177" s="8" t="n">
        <x:f>COUNTIFS($H$2:$H$1201,"&gt;"&amp;H177)+COUNTIFS($H$2:H177,H177)</x:f>
        <x:v>1069</x:v>
      </x:c>
      <x:c r="K177" s="1"/>
      <x:c r="L177" s="1"/>
    </x:row>
    <x:row r="178" ht="22" customHeight="1">
      <x:c r="A178" s="8" t="n">
        <x:v>1136</x:v>
      </x:c>
      <x:c r="B178" s="6" t="n">
        <x:v>44982</x:v>
      </x:c>
      <x:c r="C178" s="2" t="str">
        <x:v>Электроника</x:v>
      </x:c>
      <x:c r="D178" s="2" t="str">
        <x:v>Ноутбук</x:v>
      </x:c>
      <x:c r="E178" s="7" t="n">
        <x:v>19867.34</x:v>
      </x:c>
      <x:c r="F178" s="9" t="n">
        <x:v>8</x:v>
      </x:c>
      <x:c r="G178" s="2" t="str">
        <x:v>Новосибирск</x:v>
      </x:c>
      <x:c r="H178" s="7" t="n">
        <x:f>E178*F178</x:f>
        <x:v>158938.72</x:v>
      </x:c>
      <x:c r="I178" s="2" t="str">
        <x:f>TEXT(B178,"yyyy-mm")</x:f>
        <x:v>2023-02</x:v>
      </x:c>
      <x:c r="J178" s="8" t="n">
        <x:f>COUNTIFS($H$2:$H$1201,"&gt;"&amp;H178)+COUNTIFS($H$2:H178,H178)</x:f>
        <x:v>841</x:v>
      </x:c>
      <x:c r="K178" s="1"/>
      <x:c r="L178" s="1"/>
    </x:row>
    <x:row r="179" ht="22" customHeight="1">
      <x:c r="A179" s="8" t="n">
        <x:v>1190</x:v>
      </x:c>
      <x:c r="B179" s="6" t="n">
        <x:v>44982</x:v>
      </x:c>
      <x:c r="C179" s="2" t="str">
        <x:v>Электроника</x:v>
      </x:c>
      <x:c r="D179" s="2" t="str">
        <x:v>Ноутбук</x:v>
      </x:c>
      <x:c r="E179" s="7" t="n">
        <x:v>71547.13</x:v>
      </x:c>
      <x:c r="F179" s="9" t="n">
        <x:v>5</x:v>
      </x:c>
      <x:c r="G179" s="2" t="str">
        <x:v>Санкт‑Петербург</x:v>
      </x:c>
      <x:c r="H179" s="7" t="n">
        <x:f>E179*F179</x:f>
        <x:v>357735.65</x:v>
      </x:c>
      <x:c r="I179" s="2" t="str">
        <x:f>TEXT(B179,"yyyy-mm")</x:f>
        <x:v>2023-02</x:v>
      </x:c>
      <x:c r="J179" s="8" t="n">
        <x:f>COUNTIFS($H$2:$H$1201,"&gt;"&amp;H179)+COUNTIFS($H$2:H179,H179)</x:f>
        <x:v>575</x:v>
      </x:c>
      <x:c r="K179" s="1"/>
      <x:c r="L179" s="1"/>
    </x:row>
    <x:row r="180" ht="22" customHeight="1">
      <x:c r="A180" s="8" t="n">
        <x:v>844</x:v>
      </x:c>
      <x:c r="B180" s="6" t="n">
        <x:v>44983</x:v>
      </x:c>
      <x:c r="C180" s="2" t="str">
        <x:v>Одежда</x:v>
      </x:c>
      <x:c r="D180" s="2" t="str">
        <x:v>Куртка</x:v>
      </x:c>
      <x:c r="E180" s="7" t="n">
        <x:v>18985.4</x:v>
      </x:c>
      <x:c r="F180" s="9" t="n">
        <x:v>10</x:v>
      </x:c>
      <x:c r="G180" s="2" t="str">
        <x:v>Московская область</x:v>
      </x:c>
      <x:c r="H180" s="7" t="n">
        <x:f>E180*F180</x:f>
        <x:v>189854</x:v>
      </x:c>
      <x:c r="I180" s="2" t="str">
        <x:f>TEXT(B180,"yyyy-mm")</x:f>
        <x:v>2023-02</x:v>
      </x:c>
      <x:c r="J180" s="8" t="n">
        <x:f>COUNTIFS($H$2:$H$1201,"&gt;"&amp;H180)+COUNTIFS($H$2:H180,H180)</x:f>
        <x:v>803</x:v>
      </x:c>
      <x:c r="K180" s="1"/>
      <x:c r="L180" s="1"/>
    </x:row>
    <x:row r="181" ht="22" customHeight="1">
      <x:c r="A181" s="8" t="n">
        <x:v>1108</x:v>
      </x:c>
      <x:c r="B181" s="6" t="n">
        <x:v>44983</x:v>
      </x:c>
      <x:c r="C181" s="2" t="str">
        <x:v>Товары для дома</x:v>
      </x:c>
      <x:c r="D181" s="2" t="str">
        <x:v>Плед</x:v>
      </x:c>
      <x:c r="E181" s="7" t="n">
        <x:v>18254.39</x:v>
      </x:c>
      <x:c r="F181" s="9" t="n">
        <x:v>5</x:v>
      </x:c>
      <x:c r="G181" s="2" t="str">
        <x:v>Казань</x:v>
      </x:c>
      <x:c r="H181" s="7" t="n">
        <x:f>E181*F181</x:f>
        <x:v>91271.95</x:v>
      </x:c>
      <x:c r="I181" s="2" t="str">
        <x:f>TEXT(B181,"yyyy-mm")</x:f>
        <x:v>2023-02</x:v>
      </x:c>
      <x:c r="J181" s="8" t="n">
        <x:f>COUNTIFS($H$2:$H$1201,"&gt;"&amp;H181)+COUNTIFS($H$2:H181,H181)</x:f>
        <x:v>987</x:v>
      </x:c>
      <x:c r="K181" s="1"/>
      <x:c r="L181" s="1"/>
    </x:row>
    <x:row r="182" ht="22" customHeight="1">
      <x:c r="A182" s="8" t="n">
        <x:v>39</x:v>
      </x:c>
      <x:c r="B182" s="6" t="n">
        <x:v>44984</x:v>
      </x:c>
      <x:c r="C182" s="2" t="str">
        <x:v>Одежда</x:v>
      </x:c>
      <x:c r="D182" s="2" t="str">
        <x:v>Футболка</x:v>
      </x:c>
      <x:c r="E182" s="7" t="n">
        <x:v>47487.26</x:v>
      </x:c>
      <x:c r="F182" s="9" t="n">
        <x:v>5</x:v>
      </x:c>
      <x:c r="G182" s="2" t="str">
        <x:v>Екатеринбург</x:v>
      </x:c>
      <x:c r="H182" s="7" t="n">
        <x:f>E182*F182</x:f>
        <x:v>237436.30000000002</x:v>
      </x:c>
      <x:c r="I182" s="2" t="str">
        <x:f>TEXT(B182,"yyyy-mm")</x:f>
        <x:v>2023-02</x:v>
      </x:c>
      <x:c r="J182" s="8" t="n">
        <x:f>COUNTIFS($H$2:$H$1201,"&gt;"&amp;H182)+COUNTIFS($H$2:H182,H182)</x:f>
        <x:v>728</x:v>
      </x:c>
      <x:c r="K182" s="1"/>
      <x:c r="L182" s="1"/>
    </x:row>
    <x:row r="183" ht="22" customHeight="1">
      <x:c r="A183" s="8" t="n">
        <x:v>1086</x:v>
      </x:c>
      <x:c r="B183" s="6" t="n">
        <x:v>44984</x:v>
      </x:c>
      <x:c r="C183" s="2" t="str">
        <x:v>Электроника</x:v>
      </x:c>
      <x:c r="D183" s="2" t="str">
        <x:v>Планшет</x:v>
      </x:c>
      <x:c r="E183" s="7" t="n">
        <x:v>34908.69</x:v>
      </x:c>
      <x:c r="F183" s="9" t="n">
        <x:v>10</x:v>
      </x:c>
      <x:c r="G183" s="2" t="str">
        <x:v>Новосибирск</x:v>
      </x:c>
      <x:c r="H183" s="7" t="n">
        <x:f>E183*F183</x:f>
        <x:v>349086.9</x:v>
      </x:c>
      <x:c r="I183" s="2" t="str">
        <x:f>TEXT(B183,"yyyy-mm")</x:f>
        <x:v>2023-02</x:v>
      </x:c>
      <x:c r="J183" s="8" t="n">
        <x:f>COUNTIFS($H$2:$H$1201,"&gt;"&amp;H183)+COUNTIFS($H$2:H183,H183)</x:f>
        <x:v>588</x:v>
      </x:c>
      <x:c r="K183" s="1"/>
      <x:c r="L183" s="1"/>
    </x:row>
    <x:row r="184" ht="22" customHeight="1">
      <x:c r="A184" s="8" t="n">
        <x:v>1119</x:v>
      </x:c>
      <x:c r="B184" s="6" t="n">
        <x:v>44984</x:v>
      </x:c>
      <x:c r="C184" s="2" t="str">
        <x:v>Товары для дома</x:v>
      </x:c>
      <x:c r="D184" s="2" t="str">
        <x:v>Полотенце</x:v>
      </x:c>
      <x:c r="E184" s="7" t="n">
        <x:v>25698.22</x:v>
      </x:c>
      <x:c r="F184" s="9" t="n">
        <x:v>6</x:v>
      </x:c>
      <x:c r="G184" s="2" t="str">
        <x:v>Московская область</x:v>
      </x:c>
      <x:c r="H184" s="7" t="n">
        <x:f>E184*F184</x:f>
        <x:v>154189.32</x:v>
      </x:c>
      <x:c r="I184" s="2" t="str">
        <x:f>TEXT(B184,"yyyy-mm")</x:f>
        <x:v>2023-02</x:v>
      </x:c>
      <x:c r="J184" s="8" t="n">
        <x:f>COUNTIFS($H$2:$H$1201,"&gt;"&amp;H184)+COUNTIFS($H$2:H184,H184)</x:f>
        <x:v>846</x:v>
      </x:c>
      <x:c r="K184" s="1"/>
      <x:c r="L184" s="1"/>
    </x:row>
    <x:row r="185" ht="22" customHeight="1">
      <x:c r="A185" s="8" t="n">
        <x:v>106</x:v>
      </x:c>
      <x:c r="B185" s="6" t="n">
        <x:v>44985</x:v>
      </x:c>
      <x:c r="C185" s="2" t="str">
        <x:v>Электроника</x:v>
      </x:c>
      <x:c r="D185" s="2" t="str">
        <x:v>Планшет</x:v>
      </x:c>
      <x:c r="E185" s="7" t="n">
        <x:v>128046.64</x:v>
      </x:c>
      <x:c r="F185" s="9" t="n">
        <x:v>9</x:v>
      </x:c>
      <x:c r="G185" s="2" t="str">
        <x:v>Екатеринбург</x:v>
      </x:c>
      <x:c r="H185" s="7" t="n">
        <x:f>E185*F185</x:f>
        <x:v>1152419.76</x:v>
      </x:c>
      <x:c r="I185" s="2" t="str">
        <x:f>TEXT(B185,"yyyy-mm")</x:f>
        <x:v>2023-02</x:v>
      </x:c>
      <x:c r="J185" s="8" t="n">
        <x:f>COUNTIFS($H$2:$H$1201,"&gt;"&amp;H185)+COUNTIFS($H$2:H185,H185)</x:f>
        <x:v>43</x:v>
      </x:c>
      <x:c r="K185" s="1"/>
      <x:c r="L185" s="1"/>
    </x:row>
    <x:row r="186" ht="22" customHeight="1">
      <x:c r="A186" s="8" t="n">
        <x:v>388</x:v>
      </x:c>
      <x:c r="B186" s="6" t="n">
        <x:v>44985</x:v>
      </x:c>
      <x:c r="C186" s="2" t="str">
        <x:v>Одежда</x:v>
      </x:c>
      <x:c r="D186" s="2" t="str">
        <x:v>Куртка</x:v>
      </x:c>
      <x:c r="E186" s="7" t="n">
        <x:v>103898.01</x:v>
      </x:c>
      <x:c r="F186" s="9" t="n">
        <x:v>3</x:v>
      </x:c>
      <x:c r="G186" s="2" t="str">
        <x:v>Московская область</x:v>
      </x:c>
      <x:c r="H186" s="7" t="n">
        <x:f>E186*F186</x:f>
        <x:v>311694.02999999997</x:v>
      </x:c>
      <x:c r="I186" s="2" t="str">
        <x:f>TEXT(B186,"yyyy-mm")</x:f>
        <x:v>2023-02</x:v>
      </x:c>
      <x:c r="J186" s="8" t="n">
        <x:f>COUNTIFS($H$2:$H$1201,"&gt;"&amp;H186)+COUNTIFS($H$2:H186,H186)</x:f>
        <x:v>625</x:v>
      </x:c>
      <x:c r="K186" s="1"/>
      <x:c r="L186" s="1"/>
    </x:row>
    <x:row r="187" ht="22" customHeight="1">
      <x:c r="A187" s="8" t="n">
        <x:v>697</x:v>
      </x:c>
      <x:c r="B187" s="6" t="n">
        <x:v>44985</x:v>
      </x:c>
      <x:c r="C187" s="2" t="str">
        <x:v>Электроника</x:v>
      </x:c>
      <x:c r="D187" s="2" t="str">
        <x:v>Планшет</x:v>
      </x:c>
      <x:c r="E187" s="7" t="n">
        <x:v>99135.74</x:v>
      </x:c>
      <x:c r="F187" s="9" t="n">
        <x:v>9</x:v>
      </x:c>
      <x:c r="G187" s="2" t="str">
        <x:v>Новосибирск</x:v>
      </x:c>
      <x:c r="H187" s="7" t="n">
        <x:f>E187*F187</x:f>
        <x:v>892221.66</x:v>
      </x:c>
      <x:c r="I187" s="2" t="str">
        <x:f>TEXT(B187,"yyyy-mm")</x:f>
        <x:v>2023-02</x:v>
      </x:c>
      <x:c r="J187" s="8" t="n">
        <x:f>COUNTIFS($H$2:$H$1201,"&gt;"&amp;H187)+COUNTIFS($H$2:H187,H187)</x:f>
        <x:v>137</x:v>
      </x:c>
      <x:c r="K187" s="1"/>
      <x:c r="L187" s="1"/>
    </x:row>
    <x:row r="188" ht="22" customHeight="1">
      <x:c r="A188" s="8" t="n">
        <x:v>908</x:v>
      </x:c>
      <x:c r="B188" s="6" t="n">
        <x:v>44985</x:v>
      </x:c>
      <x:c r="C188" s="2" t="str">
        <x:v>Продукты</x:v>
      </x:c>
      <x:c r="D188" s="2" t="str">
        <x:v>Молоко</x:v>
      </x:c>
      <x:c r="E188" s="7" t="n">
        <x:v>48865.85</x:v>
      </x:c>
      <x:c r="F188" s="9" t="n">
        <x:v>5</x:v>
      </x:c>
      <x:c r="G188" s="2" t="str">
        <x:v>Казань</x:v>
      </x:c>
      <x:c r="H188" s="7" t="n">
        <x:f>E188*F188</x:f>
        <x:v>244329.25</x:v>
      </x:c>
      <x:c r="I188" s="2" t="str">
        <x:f>TEXT(B188,"yyyy-mm")</x:f>
        <x:v>2023-02</x:v>
      </x:c>
      <x:c r="J188" s="8" t="n">
        <x:f>COUNTIFS($H$2:$H$1201,"&gt;"&amp;H188)+COUNTIFS($H$2:H188,H188)</x:f>
        <x:v>713</x:v>
      </x:c>
      <x:c r="K188" s="1"/>
      <x:c r="L188" s="1"/>
    </x:row>
    <x:row r="189" ht="22" customHeight="1">
      <x:c r="A189" s="8" t="n">
        <x:v>967</x:v>
      </x:c>
      <x:c r="B189" s="6" t="n">
        <x:v>44985</x:v>
      </x:c>
      <x:c r="C189" s="2" t="str">
        <x:v>Продукты</x:v>
      </x:c>
      <x:c r="D189" s="2" t="str">
        <x:v>Молоко</x:v>
      </x:c>
      <x:c r="E189" s="7" t="n">
        <x:v>16276.23</x:v>
      </x:c>
      <x:c r="F189" s="9" t="n">
        <x:v>10</x:v>
      </x:c>
      <x:c r="G189" s="2" t="str">
        <x:v>Санкт‑Петербург</x:v>
      </x:c>
      <x:c r="H189" s="7" t="n">
        <x:f>E189*F189</x:f>
        <x:v>162762.3</x:v>
      </x:c>
      <x:c r="I189" s="2" t="str">
        <x:f>TEXT(B189,"yyyy-mm")</x:f>
        <x:v>2023-02</x:v>
      </x:c>
      <x:c r="J189" s="8" t="n">
        <x:f>COUNTIFS($H$2:$H$1201,"&gt;"&amp;H189)+COUNTIFS($H$2:H189,H189)</x:f>
        <x:v>832</x:v>
      </x:c>
      <x:c r="K189" s="1"/>
      <x:c r="L189" s="1"/>
    </x:row>
    <x:row r="190" ht="22" customHeight="1">
      <x:c r="A190" s="8" t="n">
        <x:v>1100</x:v>
      </x:c>
      <x:c r="B190" s="6" t="n">
        <x:v>44985</x:v>
      </x:c>
      <x:c r="C190" s="2" t="str">
        <x:v>Электроника</x:v>
      </x:c>
      <x:c r="D190" s="2" t="str">
        <x:v>Смартфон</x:v>
      </x:c>
      <x:c r="E190" s="7" t="n">
        <x:v>145589.24</x:v>
      </x:c>
      <x:c r="F190" s="9" t="n">
        <x:v>9</x:v>
      </x:c>
      <x:c r="G190" s="2" t="str">
        <x:v>Санкт‑Петербург</x:v>
      </x:c>
      <x:c r="H190" s="7" t="n">
        <x:f>E190*F190</x:f>
        <x:v>1310303.16</x:v>
      </x:c>
      <x:c r="I190" s="2" t="str">
        <x:f>TEXT(B190,"yyyy-mm")</x:f>
        <x:v>2023-02</x:v>
      </x:c>
      <x:c r="J190" s="8" t="n">
        <x:f>COUNTIFS($H$2:$H$1201,"&gt;"&amp;H190)+COUNTIFS($H$2:H190,H190)</x:f>
        <x:v>16</x:v>
      </x:c>
      <x:c r="K190" s="1"/>
      <x:c r="L190" s="1"/>
    </x:row>
    <x:row r="191" ht="22" customHeight="1">
      <x:c r="A191" s="8" t="n">
        <x:v>317</x:v>
      </x:c>
      <x:c r="B191" s="6" t="n">
        <x:v>44987</x:v>
      </x:c>
      <x:c r="C191" s="2" t="str">
        <x:v>Электроника</x:v>
      </x:c>
      <x:c r="D191" s="2" t="str">
        <x:v>Планшет</x:v>
      </x:c>
      <x:c r="E191" s="7" t="n">
        <x:v>120573.67</x:v>
      </x:c>
      <x:c r="F191" s="9" t="n">
        <x:v>6</x:v>
      </x:c>
      <x:c r="G191" s="2" t="str">
        <x:v>Московская область</x:v>
      </x:c>
      <x:c r="H191" s="7" t="n">
        <x:f>E191*F191</x:f>
        <x:v>723442.02</x:v>
      </x:c>
      <x:c r="I191" s="2" t="str">
        <x:f>TEXT(B191,"yyyy-mm")</x:f>
        <x:v>2023-03</x:v>
      </x:c>
      <x:c r="J191" s="8" t="n">
        <x:f>COUNTIFS($H$2:$H$1201,"&gt;"&amp;H191)+COUNTIFS($H$2:H191,H191)</x:f>
        <x:v>248</x:v>
      </x:c>
      <x:c r="K191" s="1"/>
      <x:c r="L191" s="1"/>
    </x:row>
    <x:row r="192" ht="22" customHeight="1">
      <x:c r="A192" s="8" t="n">
        <x:v>665</x:v>
      </x:c>
      <x:c r="B192" s="6" t="n">
        <x:v>44987</x:v>
      </x:c>
      <x:c r="C192" s="2" t="str">
        <x:v>Товары для дома</x:v>
      </x:c>
      <x:c r="D192" s="2" t="str">
        <x:v>Плед</x:v>
      </x:c>
      <x:c r="E192" s="7" t="n">
        <x:v>147121.94</x:v>
      </x:c>
      <x:c r="F192" s="9" t="n">
        <x:v>8</x:v>
      </x:c>
      <x:c r="G192" s="2" t="str">
        <x:v>Москва</x:v>
      </x:c>
      <x:c r="H192" s="7" t="n">
        <x:f>E192*F192</x:f>
        <x:v>1176975.52</x:v>
      </x:c>
      <x:c r="I192" s="2" t="str">
        <x:f>TEXT(B192,"yyyy-mm")</x:f>
        <x:v>2023-03</x:v>
      </x:c>
      <x:c r="J192" s="8" t="n">
        <x:f>COUNTIFS($H$2:$H$1201,"&gt;"&amp;H192)+COUNTIFS($H$2:H192,H192)</x:f>
        <x:v>38</x:v>
      </x:c>
      <x:c r="K192" s="1"/>
      <x:c r="L192" s="1"/>
    </x:row>
    <x:row r="193" ht="22" customHeight="1">
      <x:c r="A193" s="8" t="n">
        <x:v>723</x:v>
      </x:c>
      <x:c r="B193" s="6" t="n">
        <x:v>44987</x:v>
      </x:c>
      <x:c r="C193" s="2" t="str">
        <x:v>Одежда</x:v>
      </x:c>
      <x:c r="D193" s="2" t="str">
        <x:v>Футболка</x:v>
      </x:c>
      <x:c r="E193" s="7" t="n">
        <x:v>75986.42</x:v>
      </x:c>
      <x:c r="F193" s="9" t="n">
        <x:v>9</x:v>
      </x:c>
      <x:c r="G193" s="2" t="str">
        <x:v>Казань</x:v>
      </x:c>
      <x:c r="H193" s="7" t="n">
        <x:f>E193*F193</x:f>
        <x:v>683877.78</x:v>
      </x:c>
      <x:c r="I193" s="2" t="str">
        <x:f>TEXT(B193,"yyyy-mm")</x:f>
        <x:v>2023-03</x:v>
      </x:c>
      <x:c r="J193" s="8" t="n">
        <x:f>COUNTIFS($H$2:$H$1201,"&gt;"&amp;H193)+COUNTIFS($H$2:H193,H193)</x:f>
        <x:v>275</x:v>
      </x:c>
      <x:c r="K193" s="1"/>
      <x:c r="L193" s="1"/>
    </x:row>
    <x:row r="194" ht="22" customHeight="1">
      <x:c r="A194" s="8" t="n">
        <x:v>345</x:v>
      </x:c>
      <x:c r="B194" s="6" t="n">
        <x:v>44988</x:v>
      </x:c>
      <x:c r="C194" s="2" t="str">
        <x:v>Одежда</x:v>
      </x:c>
      <x:c r="D194" s="2" t="str">
        <x:v>Футболка</x:v>
      </x:c>
      <x:c r="E194" s="7" t="n">
        <x:v>64105.89</x:v>
      </x:c>
      <x:c r="F194" s="9" t="n">
        <x:v>8</x:v>
      </x:c>
      <x:c r="G194" s="2" t="str">
        <x:v>Казань</x:v>
      </x:c>
      <x:c r="H194" s="7" t="n">
        <x:f>E194*F194</x:f>
        <x:v>512847.12</x:v>
      </x:c>
      <x:c r="I194" s="2" t="str">
        <x:f>TEXT(B194,"yyyy-mm")</x:f>
        <x:v>2023-03</x:v>
      </x:c>
      <x:c r="J194" s="8" t="n">
        <x:f>COUNTIFS($H$2:$H$1201,"&gt;"&amp;H194)+COUNTIFS($H$2:H194,H194)</x:f>
        <x:v>398</x:v>
      </x:c>
      <x:c r="K194" s="1"/>
      <x:c r="L194" s="1"/>
    </x:row>
    <x:row r="195" ht="22" customHeight="1">
      <x:c r="A195" s="8" t="n">
        <x:v>603</x:v>
      </x:c>
      <x:c r="B195" s="6" t="n">
        <x:v>44988</x:v>
      </x:c>
      <x:c r="C195" s="2" t="str">
        <x:v>Одежда</x:v>
      </x:c>
      <x:c r="D195" s="2" t="str">
        <x:v>Кроссовки</x:v>
      </x:c>
      <x:c r="E195" s="7" t="n">
        <x:v>133030.34</x:v>
      </x:c>
      <x:c r="F195" s="9" t="n">
        <x:v>2</x:v>
      </x:c>
      <x:c r="G195" s="2" t="str">
        <x:v>Москва</x:v>
      </x:c>
      <x:c r="H195" s="7" t="n">
        <x:f>E195*F195</x:f>
        <x:v>266060.68</x:v>
      </x:c>
      <x:c r="I195" s="2" t="str">
        <x:f>TEXT(B195,"yyyy-mm")</x:f>
        <x:v>2023-03</x:v>
      </x:c>
      <x:c r="J195" s="8" t="n">
        <x:f>COUNTIFS($H$2:$H$1201,"&gt;"&amp;H195)+COUNTIFS($H$2:H195,H195)</x:f>
        <x:v>673</x:v>
      </x:c>
      <x:c r="K195" s="1"/>
      <x:c r="L195" s="1"/>
    </x:row>
    <x:row r="196" ht="22" customHeight="1">
      <x:c r="A196" s="8" t="n">
        <x:v>1078</x:v>
      </x:c>
      <x:c r="B196" s="6" t="n">
        <x:v>44988</x:v>
      </x:c>
      <x:c r="C196" s="2" t="str">
        <x:v>Электроника</x:v>
      </x:c>
      <x:c r="D196" s="2" t="str">
        <x:v>Смартфон</x:v>
      </x:c>
      <x:c r="E196" s="7" t="n">
        <x:v>42330.42</x:v>
      </x:c>
      <x:c r="F196" s="9" t="n">
        <x:v>9</x:v>
      </x:c>
      <x:c r="G196" s="2" t="str">
        <x:v>Московская область</x:v>
      </x:c>
      <x:c r="H196" s="7" t="n">
        <x:f>E196*F196</x:f>
        <x:v>380973.77999999997</x:v>
      </x:c>
      <x:c r="I196" s="2" t="str">
        <x:f>TEXT(B196,"yyyy-mm")</x:f>
        <x:v>2023-03</x:v>
      </x:c>
      <x:c r="J196" s="8" t="n">
        <x:f>COUNTIFS($H$2:$H$1201,"&gt;"&amp;H196)+COUNTIFS($H$2:H196,H196)</x:f>
        <x:v>546</x:v>
      </x:c>
      <x:c r="K196" s="1"/>
      <x:c r="L196" s="1"/>
    </x:row>
    <x:row r="197" ht="22" customHeight="1">
      <x:c r="A197" s="8" t="n">
        <x:v>1126</x:v>
      </x:c>
      <x:c r="B197" s="6" t="n">
        <x:v>44988</x:v>
      </x:c>
      <x:c r="C197" s="2" t="str">
        <x:v>Продукты</x:v>
      </x:c>
      <x:c r="D197" s="2" t="str">
        <x:v>Хлеб</x:v>
      </x:c>
      <x:c r="E197" s="7" t="n">
        <x:v>88270.57</x:v>
      </x:c>
      <x:c r="F197" s="9" t="n">
        <x:v>5</x:v>
      </x:c>
      <x:c r="G197" s="2" t="str">
        <x:v>Московская область</x:v>
      </x:c>
      <x:c r="H197" s="7" t="n">
        <x:f>E197*F197</x:f>
        <x:v>441352.85000000003</x:v>
      </x:c>
      <x:c r="I197" s="2" t="str">
        <x:f>TEXT(B197,"yyyy-mm")</x:f>
        <x:v>2023-03</x:v>
      </x:c>
      <x:c r="J197" s="8" t="n">
        <x:f>COUNTIFS($H$2:$H$1201,"&gt;"&amp;H197)+COUNTIFS($H$2:H197,H197)</x:f>
        <x:v>465</x:v>
      </x:c>
      <x:c r="K197" s="1"/>
      <x:c r="L197" s="1"/>
    </x:row>
    <x:row r="198" ht="22" customHeight="1">
      <x:c r="A198" s="8" t="n">
        <x:v>1142</x:v>
      </x:c>
      <x:c r="B198" s="6" t="n">
        <x:v>44988</x:v>
      </x:c>
      <x:c r="C198" s="2" t="str">
        <x:v>Электроника</x:v>
      </x:c>
      <x:c r="D198" s="2" t="str">
        <x:v>Ноутбук</x:v>
      </x:c>
      <x:c r="E198" s="7" t="n">
        <x:v>110220.05</x:v>
      </x:c>
      <x:c r="F198" s="9" t="n">
        <x:v>7</x:v>
      </x:c>
      <x:c r="G198" s="2" t="str">
        <x:v>Московская область</x:v>
      </x:c>
      <x:c r="H198" s="7" t="n">
        <x:f>E198*F198</x:f>
        <x:v>771540.35</x:v>
      </x:c>
      <x:c r="I198" s="2" t="str">
        <x:f>TEXT(B198,"yyyy-mm")</x:f>
        <x:v>2023-03</x:v>
      </x:c>
      <x:c r="J198" s="8" t="n">
        <x:f>COUNTIFS($H$2:$H$1201,"&gt;"&amp;H198)+COUNTIFS($H$2:H198,H198)</x:f>
        <x:v>213</x:v>
      </x:c>
      <x:c r="K198" s="1"/>
      <x:c r="L198" s="1"/>
    </x:row>
    <x:row r="199" ht="22" customHeight="1">
      <x:c r="A199" s="8" t="n">
        <x:v>23</x:v>
      </x:c>
      <x:c r="B199" s="6" t="n">
        <x:v>44989</x:v>
      </x:c>
      <x:c r="C199" s="2" t="str">
        <x:v>Одежда</x:v>
      </x:c>
      <x:c r="D199" s="2" t="str">
        <x:v>Кроссовки</x:v>
      </x:c>
      <x:c r="E199" s="7" t="n">
        <x:v>5850.1</x:v>
      </x:c>
      <x:c r="F199" s="9" t="n">
        <x:v>4</x:v>
      </x:c>
      <x:c r="G199" s="2" t="str">
        <x:v>Казань</x:v>
      </x:c>
      <x:c r="H199" s="7" t="n">
        <x:f>E199*F199</x:f>
        <x:v>23400.4</x:v>
      </x:c>
      <x:c r="I199" s="2" t="str">
        <x:f>TEXT(B199,"yyyy-mm")</x:f>
        <x:v>2023-03</x:v>
      </x:c>
      <x:c r="J199" s="8" t="n">
        <x:f>COUNTIFS($H$2:$H$1201,"&gt;"&amp;H199)+COUNTIFS($H$2:H199,H199)</x:f>
        <x:v>1146</x:v>
      </x:c>
      <x:c r="K199" s="1"/>
      <x:c r="L199" s="1"/>
    </x:row>
    <x:row r="200" ht="22" customHeight="1">
      <x:c r="A200" s="8" t="n">
        <x:v>332</x:v>
      </x:c>
      <x:c r="B200" s="6" t="n">
        <x:v>44989</x:v>
      </x:c>
      <x:c r="C200" s="2" t="str">
        <x:v>Продукты</x:v>
      </x:c>
      <x:c r="D200" s="2" t="str">
        <x:v>Молоко</x:v>
      </x:c>
      <x:c r="E200" s="7" t="n">
        <x:v>147070</x:v>
      </x:c>
      <x:c r="F200" s="9" t="n">
        <x:v>1</x:v>
      </x:c>
      <x:c r="G200" s="2" t="str">
        <x:v>Казань</x:v>
      </x:c>
      <x:c r="H200" s="7" t="n">
        <x:f>E200*F200</x:f>
        <x:v>147070</x:v>
      </x:c>
      <x:c r="I200" s="2" t="str">
        <x:f>TEXT(B200,"yyyy-mm")</x:f>
        <x:v>2023-03</x:v>
      </x:c>
      <x:c r="J200" s="8" t="n">
        <x:f>COUNTIFS($H$2:$H$1201,"&gt;"&amp;H200)+COUNTIFS($H$2:H200,H200)</x:f>
        <x:v>860</x:v>
      </x:c>
      <x:c r="K200" s="1"/>
      <x:c r="L200" s="1"/>
    </x:row>
    <x:row r="201" ht="22" customHeight="1">
      <x:c r="A201" s="8" t="n">
        <x:v>354</x:v>
      </x:c>
      <x:c r="B201" s="6" t="n">
        <x:v>44989</x:v>
      </x:c>
      <x:c r="C201" s="2" t="str">
        <x:v>Электроника</x:v>
      </x:c>
      <x:c r="D201" s="2" t="str">
        <x:v>Наушники</x:v>
      </x:c>
      <x:c r="E201" s="7" t="n">
        <x:v>136717.91</x:v>
      </x:c>
      <x:c r="F201" s="9" t="n">
        <x:v>10</x:v>
      </x:c>
      <x:c r="G201" s="2" t="str">
        <x:v>Московская область</x:v>
      </x:c>
      <x:c r="H201" s="7" t="n">
        <x:f>E201*F201</x:f>
        <x:v>1367179.1</x:v>
      </x:c>
      <x:c r="I201" s="2" t="str">
        <x:f>TEXT(B201,"yyyy-mm")</x:f>
        <x:v>2023-03</x:v>
      </x:c>
      <x:c r="J201" s="8" t="n">
        <x:f>COUNTIFS($H$2:$H$1201,"&gt;"&amp;H201)+COUNTIFS($H$2:H201,H201)</x:f>
        <x:v>7</x:v>
      </x:c>
      <x:c r="K201" s="1"/>
      <x:c r="L201" s="1"/>
    </x:row>
    <x:row r="202" ht="22" customHeight="1">
      <x:c r="A202" s="8" t="n">
        <x:v>638</x:v>
      </x:c>
      <x:c r="B202" s="6" t="n">
        <x:v>44989</x:v>
      </x:c>
      <x:c r="C202" s="2" t="str">
        <x:v>Товары для дома</x:v>
      </x:c>
      <x:c r="D202" s="2" t="str">
        <x:v>Полотенце</x:v>
      </x:c>
      <x:c r="E202" s="7" t="n">
        <x:v>97959.81</x:v>
      </x:c>
      <x:c r="F202" s="9" t="n">
        <x:v>10</x:v>
      </x:c>
      <x:c r="G202" s="2" t="str">
        <x:v>Московская область</x:v>
      </x:c>
      <x:c r="H202" s="7" t="n">
        <x:f>E202*F202</x:f>
        <x:v>979598.1</x:v>
      </x:c>
      <x:c r="I202" s="2" t="str">
        <x:f>TEXT(B202,"yyyy-mm")</x:f>
        <x:v>2023-03</x:v>
      </x:c>
      <x:c r="J202" s="8" t="n">
        <x:f>COUNTIFS($H$2:$H$1201,"&gt;"&amp;H202)+COUNTIFS($H$2:H202,H202)</x:f>
        <x:v>97</x:v>
      </x:c>
      <x:c r="K202" s="1"/>
      <x:c r="L202" s="1"/>
    </x:row>
    <x:row r="203" ht="22" customHeight="1">
      <x:c r="A203" s="8" t="n">
        <x:v>808</x:v>
      </x:c>
      <x:c r="B203" s="6" t="n">
        <x:v>44989</x:v>
      </x:c>
      <x:c r="C203" s="2" t="str">
        <x:v>Одежда</x:v>
      </x:c>
      <x:c r="D203" s="2" t="str">
        <x:v>Кроссовки</x:v>
      </x:c>
      <x:c r="E203" s="7" t="n">
        <x:v>70223.39</x:v>
      </x:c>
      <x:c r="F203" s="9" t="n">
        <x:v>8</x:v>
      </x:c>
      <x:c r="G203" s="2" t="str">
        <x:v>Московская область</x:v>
      </x:c>
      <x:c r="H203" s="7" t="n">
        <x:f>E203*F203</x:f>
        <x:v>561787.12</x:v>
      </x:c>
      <x:c r="I203" s="2" t="str">
        <x:f>TEXT(B203,"yyyy-mm")</x:f>
        <x:v>2023-03</x:v>
      </x:c>
      <x:c r="J203" s="8" t="n">
        <x:f>COUNTIFS($H$2:$H$1201,"&gt;"&amp;H203)+COUNTIFS($H$2:H203,H203)</x:f>
        <x:v>359</x:v>
      </x:c>
      <x:c r="K203" s="1"/>
      <x:c r="L203" s="1"/>
    </x:row>
    <x:row r="204" ht="22" customHeight="1">
      <x:c r="A204" s="8" t="n">
        <x:v>856</x:v>
      </x:c>
      <x:c r="B204" s="6" t="n">
        <x:v>44989</x:v>
      </x:c>
      <x:c r="C204" s="2" t="str">
        <x:v>Электроника</x:v>
      </x:c>
      <x:c r="D204" s="2" t="str">
        <x:v>Ноутбук</x:v>
      </x:c>
      <x:c r="E204" s="7" t="n">
        <x:v>115088.39</x:v>
      </x:c>
      <x:c r="F204" s="9" t="n">
        <x:v>9</x:v>
      </x:c>
      <x:c r="G204" s="2" t="str">
        <x:v>Москва</x:v>
      </x:c>
      <x:c r="H204" s="7" t="n">
        <x:f>E204*F204</x:f>
        <x:v>1035795.51</x:v>
      </x:c>
      <x:c r="I204" s="2" t="str">
        <x:f>TEXT(B204,"yyyy-mm")</x:f>
        <x:v>2023-03</x:v>
      </x:c>
      <x:c r="J204" s="8" t="n">
        <x:f>COUNTIFS($H$2:$H$1201,"&gt;"&amp;H204)+COUNTIFS($H$2:H204,H204)</x:f>
        <x:v>78</x:v>
      </x:c>
      <x:c r="K204" s="1"/>
      <x:c r="L204" s="1"/>
    </x:row>
    <x:row r="205" ht="22" customHeight="1">
      <x:c r="A205" s="8" t="n">
        <x:v>142</x:v>
      </x:c>
      <x:c r="B205" s="6" t="n">
        <x:v>44990</x:v>
      </x:c>
      <x:c r="C205" s="2" t="str">
        <x:v>Электроника</x:v>
      </x:c>
      <x:c r="D205" s="2" t="str">
        <x:v>Ноутбук</x:v>
      </x:c>
      <x:c r="E205" s="7" t="n">
        <x:v>48620.44</x:v>
      </x:c>
      <x:c r="F205" s="9" t="n">
        <x:v>9</x:v>
      </x:c>
      <x:c r="G205" s="2" t="str">
        <x:v>Казань</x:v>
      </x:c>
      <x:c r="H205" s="7" t="n">
        <x:f>E205*F205</x:f>
        <x:v>437583.96</x:v>
      </x:c>
      <x:c r="I205" s="2" t="str">
        <x:f>TEXT(B205,"yyyy-mm")</x:f>
        <x:v>2023-03</x:v>
      </x:c>
      <x:c r="J205" s="8" t="n">
        <x:f>COUNTIFS($H$2:$H$1201,"&gt;"&amp;H205)+COUNTIFS($H$2:H205,H205)</x:f>
        <x:v>472</x:v>
      </x:c>
      <x:c r="K205" s="1"/>
      <x:c r="L205" s="1"/>
    </x:row>
    <x:row r="206" ht="22" customHeight="1">
      <x:c r="A206" s="8" t="n">
        <x:v>219</x:v>
      </x:c>
      <x:c r="B206" s="6" t="n">
        <x:v>44990</x:v>
      </x:c>
      <x:c r="C206" s="2" t="str">
        <x:v>Товары для дома</x:v>
      </x:c>
      <x:c r="D206" s="2" t="str">
        <x:v>Кружка</x:v>
      </x:c>
      <x:c r="E206" s="7" t="n">
        <x:v>53683.12</x:v>
      </x:c>
      <x:c r="F206" s="9" t="n">
        <x:v>2</x:v>
      </x:c>
      <x:c r="G206" s="2" t="str">
        <x:v>Новосибирск</x:v>
      </x:c>
      <x:c r="H206" s="7" t="n">
        <x:f>E206*F206</x:f>
        <x:v>107366.24</x:v>
      </x:c>
      <x:c r="I206" s="2" t="str">
        <x:f>TEXT(B206,"yyyy-mm")</x:f>
        <x:v>2023-03</x:v>
      </x:c>
      <x:c r="J206" s="8" t="n">
        <x:f>COUNTIFS($H$2:$H$1201,"&gt;"&amp;H206)+COUNTIFS($H$2:H206,H206)</x:f>
        <x:v>956</x:v>
      </x:c>
      <x:c r="K206" s="1"/>
      <x:c r="L206" s="1"/>
    </x:row>
    <x:row r="207" ht="22" customHeight="1">
      <x:c r="A207" s="8" t="n">
        <x:v>292</x:v>
      </x:c>
      <x:c r="B207" s="6" t="n">
        <x:v>44990</x:v>
      </x:c>
      <x:c r="C207" s="2" t="str">
        <x:v>Электроника</x:v>
      </x:c>
      <x:c r="D207" s="2" t="str">
        <x:v>Смартфон</x:v>
      </x:c>
      <x:c r="E207" s="7" t="n">
        <x:v>29948.22</x:v>
      </x:c>
      <x:c r="F207" s="9" t="n">
        <x:v>2</x:v>
      </x:c>
      <x:c r="G207" s="2" t="str">
        <x:v>Санкт‑Петербург</x:v>
      </x:c>
      <x:c r="H207" s="7" t="n">
        <x:f>E207*F207</x:f>
        <x:v>59896.44</x:v>
      </x:c>
      <x:c r="I207" s="2" t="str">
        <x:f>TEXT(B207,"yyyy-mm")</x:f>
        <x:v>2023-03</x:v>
      </x:c>
      <x:c r="J207" s="8" t="n">
        <x:f>COUNTIFS($H$2:$H$1201,"&gt;"&amp;H207)+COUNTIFS($H$2:H207,H207)</x:f>
        <x:v>1059</x:v>
      </x:c>
      <x:c r="K207" s="1"/>
      <x:c r="L207" s="1"/>
    </x:row>
    <x:row r="208" ht="22" customHeight="1">
      <x:c r="A208" s="8" t="n">
        <x:v>1065</x:v>
      </x:c>
      <x:c r="B208" s="6" t="n">
        <x:v>44990</x:v>
      </x:c>
      <x:c r="C208" s="2" t="str">
        <x:v>Продукты</x:v>
      </x:c>
      <x:c r="D208" s="2" t="str">
        <x:v>Хлеб</x:v>
      </x:c>
      <x:c r="E208" s="7" t="n">
        <x:v>38994.45</x:v>
      </x:c>
      <x:c r="F208" s="9" t="n">
        <x:v>9</x:v>
      </x:c>
      <x:c r="G208" s="2" t="str">
        <x:v>Казань</x:v>
      </x:c>
      <x:c r="H208" s="7" t="n">
        <x:f>E208*F208</x:f>
        <x:v>350950.05</x:v>
      </x:c>
      <x:c r="I208" s="2" t="str">
        <x:f>TEXT(B208,"yyyy-mm")</x:f>
        <x:v>2023-03</x:v>
      </x:c>
      <x:c r="J208" s="8" t="n">
        <x:f>COUNTIFS($H$2:$H$1201,"&gt;"&amp;H208)+COUNTIFS($H$2:H208,H208)</x:f>
        <x:v>585</x:v>
      </x:c>
      <x:c r="K208" s="1"/>
      <x:c r="L208" s="1"/>
    </x:row>
    <x:row r="209" ht="22" customHeight="1">
      <x:c r="A209" s="8" t="n">
        <x:v>747</x:v>
      </x:c>
      <x:c r="B209" s="6" t="n">
        <x:v>44991</x:v>
      </x:c>
      <x:c r="C209" s="2" t="str">
        <x:v>Продукты</x:v>
      </x:c>
      <x:c r="D209" s="2" t="str">
        <x:v>Молоко</x:v>
      </x:c>
      <x:c r="E209" s="7" t="n">
        <x:v>122175.96</x:v>
      </x:c>
      <x:c r="F209" s="9" t="n">
        <x:v>2</x:v>
      </x:c>
      <x:c r="G209" s="2" t="str">
        <x:v>Московская область</x:v>
      </x:c>
      <x:c r="H209" s="7" t="n">
        <x:f>E209*F209</x:f>
        <x:v>244351.92</x:v>
      </x:c>
      <x:c r="I209" s="2" t="str">
        <x:f>TEXT(B209,"yyyy-mm")</x:f>
        <x:v>2023-03</x:v>
      </x:c>
      <x:c r="J209" s="8" t="n">
        <x:f>COUNTIFS($H$2:$H$1201,"&gt;"&amp;H209)+COUNTIFS($H$2:H209,H209)</x:f>
        <x:v>712</x:v>
      </x:c>
      <x:c r="K209" s="1"/>
      <x:c r="L209" s="1"/>
    </x:row>
    <x:row r="210" ht="22" customHeight="1">
      <x:c r="A210" s="8" t="n">
        <x:v>218</x:v>
      </x:c>
      <x:c r="B210" s="6" t="n">
        <x:v>44992</x:v>
      </x:c>
      <x:c r="C210" s="2" t="str">
        <x:v>Продукты</x:v>
      </x:c>
      <x:c r="D210" s="2" t="str">
        <x:v>Шоколад</x:v>
      </x:c>
      <x:c r="E210" s="7" t="n">
        <x:v>21184.16</x:v>
      </x:c>
      <x:c r="F210" s="9" t="n">
        <x:v>7</x:v>
      </x:c>
      <x:c r="G210" s="2" t="str">
        <x:v>Московская область</x:v>
      </x:c>
      <x:c r="H210" s="7" t="n">
        <x:f>E210*F210</x:f>
        <x:v>148289.12</x:v>
      </x:c>
      <x:c r="I210" s="2" t="str">
        <x:f>TEXT(B210,"yyyy-mm")</x:f>
        <x:v>2023-03</x:v>
      </x:c>
      <x:c r="J210" s="8" t="n">
        <x:f>COUNTIFS($H$2:$H$1201,"&gt;"&amp;H210)+COUNTIFS($H$2:H210,H210)</x:f>
        <x:v>853</x:v>
      </x:c>
      <x:c r="K210" s="1"/>
      <x:c r="L210" s="1"/>
    </x:row>
    <x:row r="211" ht="22" customHeight="1">
      <x:c r="A211" s="8" t="n">
        <x:v>221</x:v>
      </x:c>
      <x:c r="B211" s="6" t="n">
        <x:v>44992</x:v>
      </x:c>
      <x:c r="C211" s="2" t="str">
        <x:v>Продукты</x:v>
      </x:c>
      <x:c r="D211" s="2" t="str">
        <x:v>Хлеб</x:v>
      </x:c>
      <x:c r="E211" s="7" t="n">
        <x:v>90586.72</x:v>
      </x:c>
      <x:c r="F211" s="9" t="n">
        <x:v>4</x:v>
      </x:c>
      <x:c r="G211" s="2" t="str">
        <x:v>Санкт‑Петербург</x:v>
      </x:c>
      <x:c r="H211" s="7" t="n">
        <x:f>E211*F211</x:f>
        <x:v>362346.88</x:v>
      </x:c>
      <x:c r="I211" s="2" t="str">
        <x:f>TEXT(B211,"yyyy-mm")</x:f>
        <x:v>2023-03</x:v>
      </x:c>
      <x:c r="J211" s="8" t="n">
        <x:f>COUNTIFS($H$2:$H$1201,"&gt;"&amp;H211)+COUNTIFS($H$2:H211,H211)</x:f>
        <x:v>571</x:v>
      </x:c>
      <x:c r="K211" s="1"/>
      <x:c r="L211" s="1"/>
    </x:row>
    <x:row r="212" ht="22" customHeight="1">
      <x:c r="A212" s="8" t="n">
        <x:v>333</x:v>
      </x:c>
      <x:c r="B212" s="6" t="n">
        <x:v>44992</x:v>
      </x:c>
      <x:c r="C212" s="2" t="str">
        <x:v>Продукты</x:v>
      </x:c>
      <x:c r="D212" s="2" t="str">
        <x:v>Кофе</x:v>
      </x:c>
      <x:c r="E212" s="7" t="n">
        <x:v>38867.29</x:v>
      </x:c>
      <x:c r="F212" s="9" t="n">
        <x:v>3</x:v>
      </x:c>
      <x:c r="G212" s="2" t="str">
        <x:v>Новосибирск</x:v>
      </x:c>
      <x:c r="H212" s="7" t="n">
        <x:f>E212*F212</x:f>
        <x:v>116601.87</x:v>
      </x:c>
      <x:c r="I212" s="2" t="str">
        <x:f>TEXT(B212,"yyyy-mm")</x:f>
        <x:v>2023-03</x:v>
      </x:c>
      <x:c r="J212" s="8" t="n">
        <x:f>COUNTIFS($H$2:$H$1201,"&gt;"&amp;H212)+COUNTIFS($H$2:H212,H212)</x:f>
        <x:v>937</x:v>
      </x:c>
      <x:c r="K212" s="1"/>
      <x:c r="L212" s="1"/>
    </x:row>
    <x:row r="213" ht="22" customHeight="1">
      <x:c r="A213" s="8" t="n">
        <x:v>378</x:v>
      </x:c>
      <x:c r="B213" s="6" t="n">
        <x:v>44992</x:v>
      </x:c>
      <x:c r="C213" s="2" t="str">
        <x:v>Товары для дома</x:v>
      </x:c>
      <x:c r="D213" s="2" t="str">
        <x:v>Кружка</x:v>
      </x:c>
      <x:c r="E213" s="7" t="n">
        <x:v>94032.58</x:v>
      </x:c>
      <x:c r="F213" s="9" t="n">
        <x:v>2</x:v>
      </x:c>
      <x:c r="G213" s="2" t="str">
        <x:v>Екатеринбург</x:v>
      </x:c>
      <x:c r="H213" s="7" t="n">
        <x:f>E213*F213</x:f>
        <x:v>188065.16</x:v>
      </x:c>
      <x:c r="I213" s="2" t="str">
        <x:f>TEXT(B213,"yyyy-mm")</x:f>
        <x:v>2023-03</x:v>
      </x:c>
      <x:c r="J213" s="8" t="n">
        <x:f>COUNTIFS($H$2:$H$1201,"&gt;"&amp;H213)+COUNTIFS($H$2:H213,H213)</x:f>
        <x:v>807</x:v>
      </x:c>
      <x:c r="K213" s="1"/>
      <x:c r="L213" s="1"/>
    </x:row>
    <x:row r="214" ht="22" customHeight="1">
      <x:c r="A214" s="8" t="n">
        <x:v>458</x:v>
      </x:c>
      <x:c r="B214" s="6" t="n">
        <x:v>44992</x:v>
      </x:c>
      <x:c r="C214" s="2" t="str">
        <x:v>Продукты</x:v>
      </x:c>
      <x:c r="D214" s="2" t="str">
        <x:v>Шоколад</x:v>
      </x:c>
      <x:c r="E214" s="7" t="n">
        <x:v>39637.85</x:v>
      </x:c>
      <x:c r="F214" s="9" t="n">
        <x:v>1</x:v>
      </x:c>
      <x:c r="G214" s="2" t="str">
        <x:v>Санкт‑Петербург</x:v>
      </x:c>
      <x:c r="H214" s="7" t="n">
        <x:f>E214*F214</x:f>
        <x:v>39637.85</x:v>
      </x:c>
      <x:c r="I214" s="2" t="str">
        <x:f>TEXT(B214,"yyyy-mm")</x:f>
        <x:v>2023-03</x:v>
      </x:c>
      <x:c r="J214" s="8" t="n">
        <x:f>COUNTIFS($H$2:$H$1201,"&gt;"&amp;H214)+COUNTIFS($H$2:H214,H214)</x:f>
        <x:v>1106</x:v>
      </x:c>
      <x:c r="K214" s="1"/>
      <x:c r="L214" s="1"/>
    </x:row>
    <x:row r="215" ht="22" customHeight="1">
      <x:c r="A215" s="8" t="n">
        <x:v>1033</x:v>
      </x:c>
      <x:c r="B215" s="6" t="n">
        <x:v>44992</x:v>
      </x:c>
      <x:c r="C215" s="2" t="str">
        <x:v>Продукты</x:v>
      </x:c>
      <x:c r="D215" s="2" t="str">
        <x:v>Хлеб</x:v>
      </x:c>
      <x:c r="E215" s="7" t="n">
        <x:v>98390.17</x:v>
      </x:c>
      <x:c r="F215" s="9" t="n">
        <x:v>6</x:v>
      </x:c>
      <x:c r="G215" s="2" t="str">
        <x:v>Московская область</x:v>
      </x:c>
      <x:c r="H215" s="7" t="n">
        <x:f>E215*F215</x:f>
        <x:v>590341.02</x:v>
      </x:c>
      <x:c r="I215" s="2" t="str">
        <x:f>TEXT(B215,"yyyy-mm")</x:f>
        <x:v>2023-03</x:v>
      </x:c>
      <x:c r="J215" s="8" t="n">
        <x:f>COUNTIFS($H$2:$H$1201,"&gt;"&amp;H215)+COUNTIFS($H$2:H215,H215)</x:f>
        <x:v>325</x:v>
      </x:c>
      <x:c r="K215" s="1"/>
      <x:c r="L215" s="1"/>
    </x:row>
    <x:row r="216" ht="22" customHeight="1">
      <x:c r="A216" s="8" t="n">
        <x:v>13</x:v>
      </x:c>
      <x:c r="B216" s="6" t="n">
        <x:v>44993</x:v>
      </x:c>
      <x:c r="C216" s="2" t="str">
        <x:v>Продукты</x:v>
      </x:c>
      <x:c r="D216" s="2" t="str">
        <x:v>Молоко</x:v>
      </x:c>
      <x:c r="E216" s="7" t="n">
        <x:v>89350.27</x:v>
      </x:c>
      <x:c r="F216" s="9" t="n">
        <x:v>9</x:v>
      </x:c>
      <x:c r="G216" s="2" t="str">
        <x:v>Казань</x:v>
      </x:c>
      <x:c r="H216" s="7" t="n">
        <x:f>E216*F216</x:f>
        <x:v>804152.43</x:v>
      </x:c>
      <x:c r="I216" s="2" t="str">
        <x:f>TEXT(B216,"yyyy-mm")</x:f>
        <x:v>2023-03</x:v>
      </x:c>
      <x:c r="J216" s="8" t="n">
        <x:f>COUNTIFS($H$2:$H$1201,"&gt;"&amp;H216)+COUNTIFS($H$2:H216,H216)</x:f>
        <x:v>194</x:v>
      </x:c>
      <x:c r="K216" s="1"/>
      <x:c r="L216" s="1"/>
    </x:row>
    <x:row r="217" ht="22" customHeight="1">
      <x:c r="A217" s="8" t="n">
        <x:v>43</x:v>
      </x:c>
      <x:c r="B217" s="6" t="n">
        <x:v>44993</x:v>
      </x:c>
      <x:c r="C217" s="2" t="str">
        <x:v>Продукты</x:v>
      </x:c>
      <x:c r="D217" s="2" t="str">
        <x:v>Молоко</x:v>
      </x:c>
      <x:c r="E217" s="7" t="n">
        <x:v>10114.8</x:v>
      </x:c>
      <x:c r="F217" s="9" t="n">
        <x:v>9</x:v>
      </x:c>
      <x:c r="G217" s="2" t="str">
        <x:v>Екатеринбург</x:v>
      </x:c>
      <x:c r="H217" s="7" t="n">
        <x:f>E217*F217</x:f>
        <x:v>91033.2</x:v>
      </x:c>
      <x:c r="I217" s="2" t="str">
        <x:f>TEXT(B217,"yyyy-mm")</x:f>
        <x:v>2023-03</x:v>
      </x:c>
      <x:c r="J217" s="8" t="n">
        <x:f>COUNTIFS($H$2:$H$1201,"&gt;"&amp;H217)+COUNTIFS($H$2:H217,H217)</x:f>
        <x:v>989</x:v>
      </x:c>
      <x:c r="K217" s="1"/>
      <x:c r="L217" s="1"/>
    </x:row>
    <x:row r="218" ht="22" customHeight="1">
      <x:c r="A218" s="8" t="n">
        <x:v>523</x:v>
      </x:c>
      <x:c r="B218" s="6" t="n">
        <x:v>44993</x:v>
      </x:c>
      <x:c r="C218" s="2" t="str">
        <x:v>Продукты</x:v>
      </x:c>
      <x:c r="D218" s="2" t="str">
        <x:v>Молоко</x:v>
      </x:c>
      <x:c r="E218" s="7" t="n">
        <x:v>126963.99</x:v>
      </x:c>
      <x:c r="F218" s="9" t="n">
        <x:v>10</x:v>
      </x:c>
      <x:c r="G218" s="2" t="str">
        <x:v>Екатеринбург</x:v>
      </x:c>
      <x:c r="H218" s="7" t="n">
        <x:f>E218*F218</x:f>
        <x:v>1269639.9000000001</x:v>
      </x:c>
      <x:c r="I218" s="2" t="str">
        <x:f>TEXT(B218,"yyyy-mm")</x:f>
        <x:v>2023-03</x:v>
      </x:c>
      <x:c r="J218" s="8" t="n">
        <x:f>COUNTIFS($H$2:$H$1201,"&gt;"&amp;H218)+COUNTIFS($H$2:H218,H218)</x:f>
        <x:v>23</x:v>
      </x:c>
      <x:c r="K218" s="1"/>
      <x:c r="L218" s="1"/>
    </x:row>
    <x:row r="219" ht="22" customHeight="1">
      <x:c r="A219" s="8" t="n">
        <x:v>922</x:v>
      </x:c>
      <x:c r="B219" s="6" t="n">
        <x:v>44993</x:v>
      </x:c>
      <x:c r="C219" s="2" t="str">
        <x:v>Одежда</x:v>
      </x:c>
      <x:c r="D219" s="2" t="str">
        <x:v>Кроссовки</x:v>
      </x:c>
      <x:c r="E219" s="7" t="n">
        <x:v>68069.58</x:v>
      </x:c>
      <x:c r="F219" s="9" t="n">
        <x:v>2</x:v>
      </x:c>
      <x:c r="G219" s="2" t="str">
        <x:v>Москва</x:v>
      </x:c>
      <x:c r="H219" s="7" t="n">
        <x:f>E219*F219</x:f>
        <x:v>136139.16</x:v>
      </x:c>
      <x:c r="I219" s="2" t="str">
        <x:f>TEXT(B219,"yyyy-mm")</x:f>
        <x:v>2023-03</x:v>
      </x:c>
      <x:c r="J219" s="8" t="n">
        <x:f>COUNTIFS($H$2:$H$1201,"&gt;"&amp;H219)+COUNTIFS($H$2:H219,H219)</x:f>
        <x:v>888</x:v>
      </x:c>
      <x:c r="K219" s="1"/>
      <x:c r="L219" s="1"/>
    </x:row>
    <x:row r="220" ht="22" customHeight="1">
      <x:c r="A220" s="8" t="n">
        <x:v>712</x:v>
      </x:c>
      <x:c r="B220" s="6" t="n">
        <x:v>44994</x:v>
      </x:c>
      <x:c r="C220" s="2" t="str">
        <x:v>Одежда</x:v>
      </x:c>
      <x:c r="D220" s="2" t="str">
        <x:v>Куртка</x:v>
      </x:c>
      <x:c r="E220" s="7" t="n">
        <x:v>27739.57</x:v>
      </x:c>
      <x:c r="F220" s="9" t="n">
        <x:v>8</x:v>
      </x:c>
      <x:c r="G220" s="2" t="str">
        <x:v>Новосибирск</x:v>
      </x:c>
      <x:c r="H220" s="7" t="n">
        <x:f>E220*F220</x:f>
        <x:v>221916.56</x:v>
      </x:c>
      <x:c r="I220" s="2" t="str">
        <x:f>TEXT(B220,"yyyy-mm")</x:f>
        <x:v>2023-03</x:v>
      </x:c>
      <x:c r="J220" s="8" t="n">
        <x:f>COUNTIFS($H$2:$H$1201,"&gt;"&amp;H220)+COUNTIFS($H$2:H220,H220)</x:f>
        <x:v>750</x:v>
      </x:c>
      <x:c r="K220" s="1"/>
      <x:c r="L220" s="1"/>
    </x:row>
    <x:row r="221" ht="22" customHeight="1">
      <x:c r="A221" s="8" t="n">
        <x:v>739</x:v>
      </x:c>
      <x:c r="B221" s="6" t="n">
        <x:v>44995</x:v>
      </x:c>
      <x:c r="C221" s="2" t="str">
        <x:v>Продукты</x:v>
      </x:c>
      <x:c r="D221" s="2" t="str">
        <x:v>Молоко</x:v>
      </x:c>
      <x:c r="E221" s="7" t="n">
        <x:v>147358.15</x:v>
      </x:c>
      <x:c r="F221" s="9" t="n">
        <x:v>5</x:v>
      </x:c>
      <x:c r="G221" s="2" t="str">
        <x:v>Новосибирск</x:v>
      </x:c>
      <x:c r="H221" s="7" t="n">
        <x:f>E221*F221</x:f>
        <x:v>736790.75</x:v>
      </x:c>
      <x:c r="I221" s="2" t="str">
        <x:f>TEXT(B221,"yyyy-mm")</x:f>
        <x:v>2023-03</x:v>
      </x:c>
      <x:c r="J221" s="8" t="n">
        <x:f>COUNTIFS($H$2:$H$1201,"&gt;"&amp;H221)+COUNTIFS($H$2:H221,H221)</x:f>
        <x:v>234</x:v>
      </x:c>
      <x:c r="K221" s="1"/>
      <x:c r="L221" s="1"/>
    </x:row>
    <x:row r="222" ht="22" customHeight="1">
      <x:c r="A222" s="8" t="n">
        <x:v>781</x:v>
      </x:c>
      <x:c r="B222" s="6" t="n">
        <x:v>44995</x:v>
      </x:c>
      <x:c r="C222" s="2" t="str">
        <x:v>Товары для дома</x:v>
      </x:c>
      <x:c r="D222" s="2" t="str">
        <x:v>Плед</x:v>
      </x:c>
      <x:c r="E222" s="7" t="n">
        <x:v>102152.01</x:v>
      </x:c>
      <x:c r="F222" s="9" t="n">
        <x:v>8</x:v>
      </x:c>
      <x:c r="G222" s="2" t="str">
        <x:v>Новосибирск</x:v>
      </x:c>
      <x:c r="H222" s="7" t="n">
        <x:f>E222*F222</x:f>
        <x:v>817216.08</x:v>
      </x:c>
      <x:c r="I222" s="2" t="str">
        <x:f>TEXT(B222,"yyyy-mm")</x:f>
        <x:v>2023-03</x:v>
      </x:c>
      <x:c r="J222" s="8" t="n">
        <x:f>COUNTIFS($H$2:$H$1201,"&gt;"&amp;H222)+COUNTIFS($H$2:H222,H222)</x:f>
        <x:v>184</x:v>
      </x:c>
      <x:c r="K222" s="1"/>
      <x:c r="L222" s="1"/>
    </x:row>
    <x:row r="223" ht="22" customHeight="1">
      <x:c r="A223" s="8" t="n">
        <x:v>818</x:v>
      </x:c>
      <x:c r="B223" s="6" t="n">
        <x:v>44995</x:v>
      </x:c>
      <x:c r="C223" s="2" t="str">
        <x:v>Электроника</x:v>
      </x:c>
      <x:c r="D223" s="2" t="str">
        <x:v>Наушники</x:v>
      </x:c>
      <x:c r="E223" s="7" t="n">
        <x:v>27117.5</x:v>
      </x:c>
      <x:c r="F223" s="9" t="n">
        <x:v>2</x:v>
      </x:c>
      <x:c r="G223" s="2" t="str">
        <x:v>Казань</x:v>
      </x:c>
      <x:c r="H223" s="7" t="n">
        <x:f>E223*F223</x:f>
        <x:v>54235</x:v>
      </x:c>
      <x:c r="I223" s="2" t="str">
        <x:f>TEXT(B223,"yyyy-mm")</x:f>
        <x:v>2023-03</x:v>
      </x:c>
      <x:c r="J223" s="8" t="n">
        <x:f>COUNTIFS($H$2:$H$1201,"&gt;"&amp;H223)+COUNTIFS($H$2:H223,H223)</x:f>
        <x:v>1077</x:v>
      </x:c>
      <x:c r="K223" s="1"/>
      <x:c r="L223" s="1"/>
    </x:row>
    <x:row r="224" ht="22" customHeight="1">
      <x:c r="A224" s="8" t="n">
        <x:v>886</x:v>
      </x:c>
      <x:c r="B224" s="6" t="n">
        <x:v>44996</x:v>
      </x:c>
      <x:c r="C224" s="2" t="str">
        <x:v>Одежда</x:v>
      </x:c>
      <x:c r="D224" s="2" t="str">
        <x:v>Куртка</x:v>
      </x:c>
      <x:c r="E224" s="7" t="n">
        <x:v>75140.47</x:v>
      </x:c>
      <x:c r="F224" s="9" t="n">
        <x:v>9</x:v>
      </x:c>
      <x:c r="G224" s="2" t="str">
        <x:v>Московская область</x:v>
      </x:c>
      <x:c r="H224" s="7" t="n">
        <x:f>E224*F224</x:f>
        <x:v>676264.23</x:v>
      </x:c>
      <x:c r="I224" s="2" t="str">
        <x:f>TEXT(B224,"yyyy-mm")</x:f>
        <x:v>2023-03</x:v>
      </x:c>
      <x:c r="J224" s="8" t="n">
        <x:f>COUNTIFS($H$2:$H$1201,"&gt;"&amp;H224)+COUNTIFS($H$2:H224,H224)</x:f>
        <x:v>282</x:v>
      </x:c>
      <x:c r="K224" s="1"/>
      <x:c r="L224" s="1"/>
    </x:row>
    <x:row r="225" ht="22" customHeight="1">
      <x:c r="A225" s="8" t="n">
        <x:v>878</x:v>
      </x:c>
      <x:c r="B225" s="6" t="n">
        <x:v>44997</x:v>
      </x:c>
      <x:c r="C225" s="2" t="str">
        <x:v>Одежда</x:v>
      </x:c>
      <x:c r="D225" s="2" t="str">
        <x:v>Кроссовки</x:v>
      </x:c>
      <x:c r="E225" s="7" t="n">
        <x:v>112356.14</x:v>
      </x:c>
      <x:c r="F225" s="9" t="n">
        <x:v>1</x:v>
      </x:c>
      <x:c r="G225" s="2" t="str">
        <x:v>Новосибирск</x:v>
      </x:c>
      <x:c r="H225" s="7" t="n">
        <x:f>E225*F225</x:f>
        <x:v>112356.14</x:v>
      </x:c>
      <x:c r="I225" s="2" t="str">
        <x:f>TEXT(B225,"yyyy-mm")</x:f>
        <x:v>2023-03</x:v>
      </x:c>
      <x:c r="J225" s="8" t="n">
        <x:f>COUNTIFS($H$2:$H$1201,"&gt;"&amp;H225)+COUNTIFS($H$2:H225,H225)</x:f>
        <x:v>944</x:v>
      </x:c>
      <x:c r="K225" s="1"/>
      <x:c r="L225" s="1"/>
    </x:row>
    <x:row r="226" ht="22" customHeight="1">
      <x:c r="A226" s="8" t="n">
        <x:v>926</x:v>
      </x:c>
      <x:c r="B226" s="6" t="n">
        <x:v>44997</x:v>
      </x:c>
      <x:c r="C226" s="2" t="str">
        <x:v>Одежда</x:v>
      </x:c>
      <x:c r="D226" s="2" t="str">
        <x:v>Футболка</x:v>
      </x:c>
      <x:c r="E226" s="7" t="n">
        <x:v>78474.6</x:v>
      </x:c>
      <x:c r="F226" s="9" t="n">
        <x:v>5</x:v>
      </x:c>
      <x:c r="G226" s="2" t="str">
        <x:v>Санкт‑Петербург</x:v>
      </x:c>
      <x:c r="H226" s="7" t="n">
        <x:f>E226*F226</x:f>
        <x:v>392373</x:v>
      </x:c>
      <x:c r="I226" s="2" t="str">
        <x:f>TEXT(B226,"yyyy-mm")</x:f>
        <x:v>2023-03</x:v>
      </x:c>
      <x:c r="J226" s="8" t="n">
        <x:f>COUNTIFS($H$2:$H$1201,"&gt;"&amp;H226)+COUNTIFS($H$2:H226,H226)</x:f>
        <x:v>534</x:v>
      </x:c>
      <x:c r="K226" s="1"/>
      <x:c r="L226" s="1"/>
    </x:row>
    <x:row r="227" ht="22" customHeight="1">
      <x:c r="A227" s="8" t="n">
        <x:v>50</x:v>
      </x:c>
      <x:c r="B227" s="6" t="n">
        <x:v>44998</x:v>
      </x:c>
      <x:c r="C227" s="2" t="str">
        <x:v>Товары для дома</x:v>
      </x:c>
      <x:c r="D227" s="2" t="str">
        <x:v>Полотенце</x:v>
      </x:c>
      <x:c r="E227" s="7" t="n">
        <x:v>48262.48</x:v>
      </x:c>
      <x:c r="F227" s="9" t="n">
        <x:v>6</x:v>
      </x:c>
      <x:c r="G227" s="2" t="str">
        <x:v>Москва</x:v>
      </x:c>
      <x:c r="H227" s="7" t="n">
        <x:f>E227*F227</x:f>
        <x:v>289574.88</x:v>
      </x:c>
      <x:c r="I227" s="2" t="str">
        <x:f>TEXT(B227,"yyyy-mm")</x:f>
        <x:v>2023-03</x:v>
      </x:c>
      <x:c r="J227" s="8" t="n">
        <x:f>COUNTIFS($H$2:$H$1201,"&gt;"&amp;H227)+COUNTIFS($H$2:H227,H227)</x:f>
        <x:v>643</x:v>
      </x:c>
      <x:c r="K227" s="1"/>
      <x:c r="L227" s="1"/>
    </x:row>
    <x:row r="228" ht="22" customHeight="1">
      <x:c r="A228" s="8" t="n">
        <x:v>733</x:v>
      </x:c>
      <x:c r="B228" s="6" t="n">
        <x:v>44998</x:v>
      </x:c>
      <x:c r="C228" s="2" t="str">
        <x:v>Электроника</x:v>
      </x:c>
      <x:c r="D228" s="2" t="str">
        <x:v>Наушники</x:v>
      </x:c>
      <x:c r="E228" s="7" t="n">
        <x:v>54168.28</x:v>
      </x:c>
      <x:c r="F228" s="9" t="n">
        <x:v>3</x:v>
      </x:c>
      <x:c r="G228" s="2" t="str">
        <x:v>Новосибирск</x:v>
      </x:c>
      <x:c r="H228" s="7" t="n">
        <x:f>E228*F228</x:f>
        <x:v>162504.84</x:v>
      </x:c>
      <x:c r="I228" s="2" t="str">
        <x:f>TEXT(B228,"yyyy-mm")</x:f>
        <x:v>2023-03</x:v>
      </x:c>
      <x:c r="J228" s="8" t="n">
        <x:f>COUNTIFS($H$2:$H$1201,"&gt;"&amp;H228)+COUNTIFS($H$2:H228,H228)</x:f>
        <x:v>833</x:v>
      </x:c>
      <x:c r="K228" s="1"/>
      <x:c r="L228" s="1"/>
    </x:row>
    <x:row r="229" ht="22" customHeight="1">
      <x:c r="A229" s="8" t="n">
        <x:v>982</x:v>
      </x:c>
      <x:c r="B229" s="6" t="n">
        <x:v>44998</x:v>
      </x:c>
      <x:c r="C229" s="2" t="str">
        <x:v>Электроника</x:v>
      </x:c>
      <x:c r="D229" s="2" t="str">
        <x:v>Ноутбук</x:v>
      </x:c>
      <x:c r="E229" s="7" t="n">
        <x:v>81915.66</x:v>
      </x:c>
      <x:c r="F229" s="9" t="n">
        <x:v>6</x:v>
      </x:c>
      <x:c r="G229" s="2" t="str">
        <x:v>Московская область</x:v>
      </x:c>
      <x:c r="H229" s="7" t="n">
        <x:f>E229*F229</x:f>
        <x:v>491493.96</x:v>
      </x:c>
      <x:c r="I229" s="2" t="str">
        <x:f>TEXT(B229,"yyyy-mm")</x:f>
        <x:v>2023-03</x:v>
      </x:c>
      <x:c r="J229" s="8" t="n">
        <x:f>COUNTIFS($H$2:$H$1201,"&gt;"&amp;H229)+COUNTIFS($H$2:H229,H229)</x:f>
        <x:v>419</x:v>
      </x:c>
      <x:c r="K229" s="1"/>
      <x:c r="L229" s="1"/>
    </x:row>
    <x:row r="230" ht="22" customHeight="1">
      <x:c r="A230" s="8" t="n">
        <x:v>1052</x:v>
      </x:c>
      <x:c r="B230" s="6" t="n">
        <x:v>44998</x:v>
      </x:c>
      <x:c r="C230" s="2" t="str">
        <x:v>Одежда</x:v>
      </x:c>
      <x:c r="D230" s="2" t="str">
        <x:v>Кроссовки</x:v>
      </x:c>
      <x:c r="E230" s="7" t="n">
        <x:v>23623.76</x:v>
      </x:c>
      <x:c r="F230" s="9" t="n">
        <x:v>4</x:v>
      </x:c>
      <x:c r="G230" s="2" t="str">
        <x:v>Казань</x:v>
      </x:c>
      <x:c r="H230" s="7" t="n">
        <x:f>E230*F230</x:f>
        <x:v>94495.04</x:v>
      </x:c>
      <x:c r="I230" s="2" t="str">
        <x:f>TEXT(B230,"yyyy-mm")</x:f>
        <x:v>2023-03</x:v>
      </x:c>
      <x:c r="J230" s="8" t="n">
        <x:f>COUNTIFS($H$2:$H$1201,"&gt;"&amp;H230)+COUNTIFS($H$2:H230,H230)</x:f>
        <x:v>981</x:v>
      </x:c>
      <x:c r="K230" s="1"/>
      <x:c r="L230" s="1"/>
    </x:row>
    <x:row r="231" ht="22" customHeight="1">
      <x:c r="A231" s="8" t="n">
        <x:v>146</x:v>
      </x:c>
      <x:c r="B231" s="6" t="n">
        <x:v>44999</x:v>
      </x:c>
      <x:c r="C231" s="2" t="str">
        <x:v>Товары для дома</x:v>
      </x:c>
      <x:c r="D231" s="2" t="str">
        <x:v>Плед</x:v>
      </x:c>
      <x:c r="E231" s="7" t="n">
        <x:v>121467.14</x:v>
      </x:c>
      <x:c r="F231" s="9" t="n">
        <x:v>8</x:v>
      </x:c>
      <x:c r="G231" s="2" t="str">
        <x:v>Московская область</x:v>
      </x:c>
      <x:c r="H231" s="7" t="n">
        <x:f>E231*F231</x:f>
        <x:v>971737.12</x:v>
      </x:c>
      <x:c r="I231" s="2" t="str">
        <x:f>TEXT(B231,"yyyy-mm")</x:f>
        <x:v>2023-03</x:v>
      </x:c>
      <x:c r="J231" s="8" t="n">
        <x:f>COUNTIFS($H$2:$H$1201,"&gt;"&amp;H231)+COUNTIFS($H$2:H231,H231)</x:f>
        <x:v>100</x:v>
      </x:c>
      <x:c r="K231" s="1"/>
      <x:c r="L231" s="1"/>
    </x:row>
    <x:row r="232" ht="22" customHeight="1">
      <x:c r="A232" s="8" t="n">
        <x:v>656</x:v>
      </x:c>
      <x:c r="B232" s="6" t="n">
        <x:v>44999</x:v>
      </x:c>
      <x:c r="C232" s="2" t="str">
        <x:v>Электроника</x:v>
      </x:c>
      <x:c r="D232" s="2" t="str">
        <x:v>Наушники</x:v>
      </x:c>
      <x:c r="E232" s="7" t="n">
        <x:v>89121.11</x:v>
      </x:c>
      <x:c r="F232" s="9" t="n">
        <x:v>8</x:v>
      </x:c>
      <x:c r="G232" s="2" t="str">
        <x:v>Москва</x:v>
      </x:c>
      <x:c r="H232" s="7" t="n">
        <x:f>E232*F232</x:f>
        <x:v>712968.88</x:v>
      </x:c>
      <x:c r="I232" s="2" t="str">
        <x:f>TEXT(B232,"yyyy-mm")</x:f>
        <x:v>2023-03</x:v>
      </x:c>
      <x:c r="J232" s="8" t="n">
        <x:f>COUNTIFS($H$2:$H$1201,"&gt;"&amp;H232)+COUNTIFS($H$2:H232,H232)</x:f>
        <x:v>254</x:v>
      </x:c>
      <x:c r="K232" s="1"/>
      <x:c r="L232" s="1"/>
    </x:row>
    <x:row r="233" ht="22" customHeight="1">
      <x:c r="A233" s="8" t="n">
        <x:v>1047</x:v>
      </x:c>
      <x:c r="B233" s="6" t="n">
        <x:v>45000</x:v>
      </x:c>
      <x:c r="C233" s="2" t="str">
        <x:v>Одежда</x:v>
      </x:c>
      <x:c r="D233" s="2" t="str">
        <x:v>Куртка</x:v>
      </x:c>
      <x:c r="E233" s="7" t="n">
        <x:v>27496.97</x:v>
      </x:c>
      <x:c r="F233" s="9" t="n">
        <x:v>7</x:v>
      </x:c>
      <x:c r="G233" s="2" t="str">
        <x:v>Москва</x:v>
      </x:c>
      <x:c r="H233" s="7" t="n">
        <x:f>E233*F233</x:f>
        <x:v>192478.79</x:v>
      </x:c>
      <x:c r="I233" s="2" t="str">
        <x:f>TEXT(B233,"yyyy-mm")</x:f>
        <x:v>2023-03</x:v>
      </x:c>
      <x:c r="J233" s="8" t="n">
        <x:f>COUNTIFS($H$2:$H$1201,"&gt;"&amp;H233)+COUNTIFS($H$2:H233,H233)</x:f>
        <x:v>801</x:v>
      </x:c>
      <x:c r="K233" s="1"/>
      <x:c r="L233" s="1"/>
    </x:row>
    <x:row r="234" ht="22" customHeight="1">
      <x:c r="A234" s="8" t="n">
        <x:v>150</x:v>
      </x:c>
      <x:c r="B234" s="6" t="n">
        <x:v>45002</x:v>
      </x:c>
      <x:c r="C234" s="2" t="str">
        <x:v>Электроника</x:v>
      </x:c>
      <x:c r="D234" s="2" t="str">
        <x:v>Планшет</x:v>
      </x:c>
      <x:c r="E234" s="7" t="n">
        <x:v>133090.1</x:v>
      </x:c>
      <x:c r="F234" s="9" t="n">
        <x:v>3</x:v>
      </x:c>
      <x:c r="G234" s="2" t="str">
        <x:v>Московская область</x:v>
      </x:c>
      <x:c r="H234" s="7" t="n">
        <x:f>E234*F234</x:f>
        <x:v>399270.30000000005</x:v>
      </x:c>
      <x:c r="I234" s="2" t="str">
        <x:f>TEXT(B234,"yyyy-mm")</x:f>
        <x:v>2023-03</x:v>
      </x:c>
      <x:c r="J234" s="8" t="n">
        <x:f>COUNTIFS($H$2:$H$1201,"&gt;"&amp;H234)+COUNTIFS($H$2:H234,H234)</x:f>
        <x:v>518</x:v>
      </x:c>
      <x:c r="K234" s="1"/>
      <x:c r="L234" s="1"/>
    </x:row>
    <x:row r="235" ht="22" customHeight="1">
      <x:c r="A235" s="8" t="n">
        <x:v>862</x:v>
      </x:c>
      <x:c r="B235" s="6" t="n">
        <x:v>45002</x:v>
      </x:c>
      <x:c r="C235" s="2" t="str">
        <x:v>Товары для дома</x:v>
      </x:c>
      <x:c r="D235" s="2" t="str">
        <x:v>Полотенце</x:v>
      </x:c>
      <x:c r="E235" s="7" t="n">
        <x:v>77006.17</x:v>
      </x:c>
      <x:c r="F235" s="9" t="n">
        <x:v>10</x:v>
      </x:c>
      <x:c r="G235" s="2" t="str">
        <x:v>Новосибирск</x:v>
      </x:c>
      <x:c r="H235" s="7" t="n">
        <x:f>E235*F235</x:f>
        <x:v>770061.7</x:v>
      </x:c>
      <x:c r="I235" s="2" t="str">
        <x:f>TEXT(B235,"yyyy-mm")</x:f>
        <x:v>2023-03</x:v>
      </x:c>
      <x:c r="J235" s="8" t="n">
        <x:f>COUNTIFS($H$2:$H$1201,"&gt;"&amp;H235)+COUNTIFS($H$2:H235,H235)</x:f>
        <x:v>217</x:v>
      </x:c>
      <x:c r="K235" s="1"/>
      <x:c r="L235" s="1"/>
    </x:row>
    <x:row r="236" ht="22" customHeight="1">
      <x:c r="A236" s="8" t="n">
        <x:v>1010</x:v>
      </x:c>
      <x:c r="B236" s="6" t="n">
        <x:v>45002</x:v>
      </x:c>
      <x:c r="C236" s="2" t="str">
        <x:v>Одежда</x:v>
      </x:c>
      <x:c r="D236" s="2" t="str">
        <x:v>Кроссовки</x:v>
      </x:c>
      <x:c r="E236" s="7" t="n">
        <x:v>135403.37</x:v>
      </x:c>
      <x:c r="F236" s="9" t="n">
        <x:v>4</x:v>
      </x:c>
      <x:c r="G236" s="2" t="str">
        <x:v>Екатеринбург</x:v>
      </x:c>
      <x:c r="H236" s="7" t="n">
        <x:f>E236*F236</x:f>
        <x:v>541613.48</x:v>
      </x:c>
      <x:c r="I236" s="2" t="str">
        <x:f>TEXT(B236,"yyyy-mm")</x:f>
        <x:v>2023-03</x:v>
      </x:c>
      <x:c r="J236" s="8" t="n">
        <x:f>COUNTIFS($H$2:$H$1201,"&gt;"&amp;H236)+COUNTIFS($H$2:H236,H236)</x:f>
        <x:v>375</x:v>
      </x:c>
      <x:c r="K236" s="1"/>
      <x:c r="L236" s="1"/>
    </x:row>
    <x:row r="237" ht="22" customHeight="1">
      <x:c r="A237" s="8" t="n">
        <x:v>883</x:v>
      </x:c>
      <x:c r="B237" s="6" t="n">
        <x:v>45003</x:v>
      </x:c>
      <x:c r="C237" s="2" t="str">
        <x:v>Одежда</x:v>
      </x:c>
      <x:c r="D237" s="2" t="str">
        <x:v>Футболка</x:v>
      </x:c>
      <x:c r="E237" s="7" t="n">
        <x:v>81158.53</x:v>
      </x:c>
      <x:c r="F237" s="9" t="n">
        <x:v>7</x:v>
      </x:c>
      <x:c r="G237" s="2" t="str">
        <x:v>Санкт‑Петербург</x:v>
      </x:c>
      <x:c r="H237" s="7" t="n">
        <x:f>E237*F237</x:f>
        <x:v>568109.71</x:v>
      </x:c>
      <x:c r="I237" s="2" t="str">
        <x:f>TEXT(B237,"yyyy-mm")</x:f>
        <x:v>2023-03</x:v>
      </x:c>
      <x:c r="J237" s="8" t="n">
        <x:f>COUNTIFS($H$2:$H$1201,"&gt;"&amp;H237)+COUNTIFS($H$2:H237,H237)</x:f>
        <x:v>354</x:v>
      </x:c>
      <x:c r="K237" s="1"/>
      <x:c r="L237" s="1"/>
    </x:row>
    <x:row r="238" ht="22" customHeight="1">
      <x:c r="A238" s="8" t="n">
        <x:v>562</x:v>
      </x:c>
      <x:c r="B238" s="6" t="n">
        <x:v>45004</x:v>
      </x:c>
      <x:c r="C238" s="2" t="str">
        <x:v>Продукты</x:v>
      </x:c>
      <x:c r="D238" s="2" t="str">
        <x:v>Хлеб</x:v>
      </x:c>
      <x:c r="E238" s="7" t="n">
        <x:v>24297.48</x:v>
      </x:c>
      <x:c r="F238" s="9" t="n">
        <x:v>6</x:v>
      </x:c>
      <x:c r="G238" s="2" t="str">
        <x:v>Московская область</x:v>
      </x:c>
      <x:c r="H238" s="7" t="n">
        <x:f>E238*F238</x:f>
        <x:v>145784.88</x:v>
      </x:c>
      <x:c r="I238" s="2" t="str">
        <x:f>TEXT(B238,"yyyy-mm")</x:f>
        <x:v>2023-03</x:v>
      </x:c>
      <x:c r="J238" s="8" t="n">
        <x:f>COUNTIFS($H$2:$H$1201,"&gt;"&amp;H238)+COUNTIFS($H$2:H238,H238)</x:f>
        <x:v>863</x:v>
      </x:c>
      <x:c r="K238" s="1"/>
      <x:c r="L238" s="1"/>
    </x:row>
    <x:row r="239" ht="22" customHeight="1">
      <x:c r="A239" s="8" t="n">
        <x:v>630</x:v>
      </x:c>
      <x:c r="B239" s="6" t="n">
        <x:v>45004</x:v>
      </x:c>
      <x:c r="C239" s="2" t="str">
        <x:v>Продукты</x:v>
      </x:c>
      <x:c r="D239" s="2" t="str">
        <x:v>Шоколад</x:v>
      </x:c>
      <x:c r="E239" s="7" t="n">
        <x:v>1655.72</x:v>
      </x:c>
      <x:c r="F239" s="9" t="n">
        <x:v>2</x:v>
      </x:c>
      <x:c r="G239" s="2" t="str">
        <x:v>Москва</x:v>
      </x:c>
      <x:c r="H239" s="7" t="n">
        <x:f>E239*F239</x:f>
        <x:v>3311.44</x:v>
      </x:c>
      <x:c r="I239" s="2" t="str">
        <x:f>TEXT(B239,"yyyy-mm")</x:f>
        <x:v>2023-03</x:v>
      </x:c>
      <x:c r="J239" s="8" t="n">
        <x:f>COUNTIFS($H$2:$H$1201,"&gt;"&amp;H239)+COUNTIFS($H$2:H239,H239)</x:f>
        <x:v>1194</x:v>
      </x:c>
      <x:c r="K239" s="1"/>
      <x:c r="L239" s="1"/>
    </x:row>
    <x:row r="240" ht="22" customHeight="1">
      <x:c r="A240" s="8" t="n">
        <x:v>1071</x:v>
      </x:c>
      <x:c r="B240" s="6" t="n">
        <x:v>45004</x:v>
      </x:c>
      <x:c r="C240" s="2" t="str">
        <x:v>Продукты</x:v>
      </x:c>
      <x:c r="D240" s="2" t="str">
        <x:v>Шоколад</x:v>
      </x:c>
      <x:c r="E240" s="7" t="n">
        <x:v>81253.35</x:v>
      </x:c>
      <x:c r="F240" s="9" t="n">
        <x:v>1</x:v>
      </x:c>
      <x:c r="G240" s="2" t="str">
        <x:v>Екатеринбург</x:v>
      </x:c>
      <x:c r="H240" s="7" t="n">
        <x:f>E240*F240</x:f>
        <x:v>81253.35</x:v>
      </x:c>
      <x:c r="I240" s="2" t="str">
        <x:f>TEXT(B240,"yyyy-mm")</x:f>
        <x:v>2023-03</x:v>
      </x:c>
      <x:c r="J240" s="8" t="n">
        <x:f>COUNTIFS($H$2:$H$1201,"&gt;"&amp;H240)+COUNTIFS($H$2:H240,H240)</x:f>
        <x:v>1012</x:v>
      </x:c>
      <x:c r="K240" s="1"/>
      <x:c r="L240" s="1"/>
    </x:row>
    <x:row r="241" ht="22" customHeight="1">
      <x:c r="A241" s="8" t="n">
        <x:v>1072</x:v>
      </x:c>
      <x:c r="B241" s="6" t="n">
        <x:v>45004</x:v>
      </x:c>
      <x:c r="C241" s="2" t="str">
        <x:v>Электроника</x:v>
      </x:c>
      <x:c r="D241" s="2" t="str">
        <x:v>Планшет</x:v>
      </x:c>
      <x:c r="E241" s="7" t="n">
        <x:v>77800.88</x:v>
      </x:c>
      <x:c r="F241" s="9" t="n">
        <x:v>5</x:v>
      </x:c>
      <x:c r="G241" s="2" t="str">
        <x:v>Казань</x:v>
      </x:c>
      <x:c r="H241" s="7" t="n">
        <x:f>E241*F241</x:f>
        <x:v>389004.4</x:v>
      </x:c>
      <x:c r="I241" s="2" t="str">
        <x:f>TEXT(B241,"yyyy-mm")</x:f>
        <x:v>2023-03</x:v>
      </x:c>
      <x:c r="J241" s="8" t="n">
        <x:f>COUNTIFS($H$2:$H$1201,"&gt;"&amp;H241)+COUNTIFS($H$2:H241,H241)</x:f>
        <x:v>537</x:v>
      </x:c>
      <x:c r="K241" s="1"/>
      <x:c r="L241" s="1"/>
    </x:row>
    <x:row r="242" ht="22" customHeight="1">
      <x:c r="A242" s="8" t="n">
        <x:v>1082</x:v>
      </x:c>
      <x:c r="B242" s="6" t="n">
        <x:v>45004</x:v>
      </x:c>
      <x:c r="C242" s="2" t="str">
        <x:v>Одежда</x:v>
      </x:c>
      <x:c r="D242" s="2" t="str">
        <x:v>Джинсы</x:v>
      </x:c>
      <x:c r="E242" s="7" t="n">
        <x:v>13586.3</x:v>
      </x:c>
      <x:c r="F242" s="9" t="n">
        <x:v>1</x:v>
      </x:c>
      <x:c r="G242" s="2" t="str">
        <x:v>Казань</x:v>
      </x:c>
      <x:c r="H242" s="7" t="n">
        <x:f>E242*F242</x:f>
        <x:v>13586.3</x:v>
      </x:c>
      <x:c r="I242" s="2" t="str">
        <x:f>TEXT(B242,"yyyy-mm")</x:f>
        <x:v>2023-03</x:v>
      </x:c>
      <x:c r="J242" s="8" t="n">
        <x:f>COUNTIFS($H$2:$H$1201,"&gt;"&amp;H242)+COUNTIFS($H$2:H242,H242)</x:f>
        <x:v>1171</x:v>
      </x:c>
      <x:c r="K242" s="1"/>
      <x:c r="L242" s="1"/>
    </x:row>
    <x:row r="243" ht="22" customHeight="1">
      <x:c r="A243" s="8" t="n">
        <x:v>1185</x:v>
      </x:c>
      <x:c r="B243" s="6" t="n">
        <x:v>45005</x:v>
      </x:c>
      <x:c r="C243" s="2" t="str">
        <x:v>Товары для дома</x:v>
      </x:c>
      <x:c r="D243" s="2" t="str">
        <x:v>Кружка</x:v>
      </x:c>
      <x:c r="E243" s="7" t="n">
        <x:v>92124.8</x:v>
      </x:c>
      <x:c r="F243" s="9" t="n">
        <x:v>10</x:v>
      </x:c>
      <x:c r="G243" s="2" t="str">
        <x:v>Екатеринбург</x:v>
      </x:c>
      <x:c r="H243" s="7" t="n">
        <x:f>E243*F243</x:f>
        <x:v>921248</x:v>
      </x:c>
      <x:c r="I243" s="2" t="str">
        <x:f>TEXT(B243,"yyyy-mm")</x:f>
        <x:v>2023-03</x:v>
      </x:c>
      <x:c r="J243" s="8" t="n">
        <x:f>COUNTIFS($H$2:$H$1201,"&gt;"&amp;H243)+COUNTIFS($H$2:H243,H243)</x:f>
        <x:v>122</x:v>
      </x:c>
      <x:c r="K243" s="1"/>
      <x:c r="L243" s="1"/>
    </x:row>
    <x:row r="244" ht="22" customHeight="1">
      <x:c r="A244" s="8" t="n">
        <x:v>452</x:v>
      </x:c>
      <x:c r="B244" s="6" t="n">
        <x:v>45007</x:v>
      </x:c>
      <x:c r="C244" s="2" t="str">
        <x:v>Одежда</x:v>
      </x:c>
      <x:c r="D244" s="2" t="str">
        <x:v>Джинсы</x:v>
      </x:c>
      <x:c r="E244" s="7" t="n">
        <x:v>31425.86</x:v>
      </x:c>
      <x:c r="F244" s="9" t="n">
        <x:v>1</x:v>
      </x:c>
      <x:c r="G244" s="2" t="str">
        <x:v>Екатеринбург</x:v>
      </x:c>
      <x:c r="H244" s="7" t="n">
        <x:f>E244*F244</x:f>
        <x:v>31425.86</x:v>
      </x:c>
      <x:c r="I244" s="2" t="str">
        <x:f>TEXT(B244,"yyyy-mm")</x:f>
        <x:v>2023-03</x:v>
      </x:c>
      <x:c r="J244" s="8" t="n">
        <x:f>COUNTIFS($H$2:$H$1201,"&gt;"&amp;H244)+COUNTIFS($H$2:H244,H244)</x:f>
        <x:v>1122</x:v>
      </x:c>
      <x:c r="K244" s="1"/>
      <x:c r="L244" s="1"/>
    </x:row>
    <x:row r="245" ht="22" customHeight="1">
      <x:c r="A245" s="8" t="n">
        <x:v>618</x:v>
      </x:c>
      <x:c r="B245" s="6" t="n">
        <x:v>45007</x:v>
      </x:c>
      <x:c r="C245" s="2" t="str">
        <x:v>Товары для дома</x:v>
      </x:c>
      <x:c r="D245" s="2" t="str">
        <x:v>Подушка</x:v>
      </x:c>
      <x:c r="E245" s="7" t="n">
        <x:v>83019.22</x:v>
      </x:c>
      <x:c r="F245" s="9" t="n">
        <x:v>4</x:v>
      </x:c>
      <x:c r="G245" s="2" t="str">
        <x:v>Санкт‑Петербург</x:v>
      </x:c>
      <x:c r="H245" s="7" t="n">
        <x:f>E245*F245</x:f>
        <x:v>332076.88</x:v>
      </x:c>
      <x:c r="I245" s="2" t="str">
        <x:f>TEXT(B245,"yyyy-mm")</x:f>
        <x:v>2023-03</x:v>
      </x:c>
      <x:c r="J245" s="8" t="n">
        <x:f>COUNTIFS($H$2:$H$1201,"&gt;"&amp;H245)+COUNTIFS($H$2:H245,H245)</x:f>
        <x:v>598</x:v>
      </x:c>
      <x:c r="K245" s="1"/>
      <x:c r="L245" s="1"/>
    </x:row>
    <x:row r="246" ht="22" customHeight="1">
      <x:c r="A246" s="8" t="n">
        <x:v>891</x:v>
      </x:c>
      <x:c r="B246" s="6" t="n">
        <x:v>45007</x:v>
      </x:c>
      <x:c r="C246" s="2" t="str">
        <x:v>Продукты</x:v>
      </x:c>
      <x:c r="D246" s="2" t="str">
        <x:v>Молоко</x:v>
      </x:c>
      <x:c r="E246" s="7" t="n">
        <x:v>110531.67</x:v>
      </x:c>
      <x:c r="F246" s="9" t="n">
        <x:v>5</x:v>
      </x:c>
      <x:c r="G246" s="2" t="str">
        <x:v>Екатеринбург</x:v>
      </x:c>
      <x:c r="H246" s="7" t="n">
        <x:f>E246*F246</x:f>
        <x:v>552658.35</x:v>
      </x:c>
      <x:c r="I246" s="2" t="str">
        <x:f>TEXT(B246,"yyyy-mm")</x:f>
        <x:v>2023-03</x:v>
      </x:c>
      <x:c r="J246" s="8" t="n">
        <x:f>COUNTIFS($H$2:$H$1201,"&gt;"&amp;H246)+COUNTIFS($H$2:H246,H246)</x:f>
        <x:v>365</x:v>
      </x:c>
      <x:c r="K246" s="1"/>
      <x:c r="L246" s="1"/>
    </x:row>
    <x:row r="247" ht="22" customHeight="1">
      <x:c r="A247" s="8" t="n">
        <x:v>1124</x:v>
      </x:c>
      <x:c r="B247" s="6" t="n">
        <x:v>45007</x:v>
      </x:c>
      <x:c r="C247" s="2" t="str">
        <x:v>Электроника</x:v>
      </x:c>
      <x:c r="D247" s="2" t="str">
        <x:v>Смартфон</x:v>
      </x:c>
      <x:c r="E247" s="7" t="n">
        <x:v>40111.61</x:v>
      </x:c>
      <x:c r="F247" s="9" t="n">
        <x:v>7</x:v>
      </x:c>
      <x:c r="G247" s="2" t="str">
        <x:v>Новосибирск</x:v>
      </x:c>
      <x:c r="H247" s="7" t="n">
        <x:f>E247*F247</x:f>
        <x:v>280781.27</x:v>
      </x:c>
      <x:c r="I247" s="2" t="str">
        <x:f>TEXT(B247,"yyyy-mm")</x:f>
        <x:v>2023-03</x:v>
      </x:c>
      <x:c r="J247" s="8" t="n">
        <x:f>COUNTIFS($H$2:$H$1201,"&gt;"&amp;H247)+COUNTIFS($H$2:H247,H247)</x:f>
        <x:v>656</x:v>
      </x:c>
      <x:c r="K247" s="1"/>
      <x:c r="L247" s="1"/>
    </x:row>
    <x:row r="248" ht="22" customHeight="1">
      <x:c r="A248" s="8" t="n">
        <x:v>593</x:v>
      </x:c>
      <x:c r="B248" s="6" t="n">
        <x:v>45008</x:v>
      </x:c>
      <x:c r="C248" s="2" t="str">
        <x:v>Продукты</x:v>
      </x:c>
      <x:c r="D248" s="2" t="str">
        <x:v>Кофе</x:v>
      </x:c>
      <x:c r="E248" s="7" t="n">
        <x:v>61659.93</x:v>
      </x:c>
      <x:c r="F248" s="9" t="n">
        <x:v>7</x:v>
      </x:c>
      <x:c r="G248" s="2" t="str">
        <x:v>Новосибирск</x:v>
      </x:c>
      <x:c r="H248" s="7" t="n">
        <x:f>E248*F248</x:f>
        <x:v>431619.51</x:v>
      </x:c>
      <x:c r="I248" s="2" t="str">
        <x:f>TEXT(B248,"yyyy-mm")</x:f>
        <x:v>2023-03</x:v>
      </x:c>
      <x:c r="J248" s="8" t="n">
        <x:f>COUNTIFS($H$2:$H$1201,"&gt;"&amp;H248)+COUNTIFS($H$2:H248,H248)</x:f>
        <x:v>479</x:v>
      </x:c>
      <x:c r="K248" s="1"/>
      <x:c r="L248" s="1"/>
    </x:row>
    <x:row r="249" ht="22" customHeight="1">
      <x:c r="A249" s="8" t="n">
        <x:v>693</x:v>
      </x:c>
      <x:c r="B249" s="6" t="n">
        <x:v>45008</x:v>
      </x:c>
      <x:c r="C249" s="2" t="str">
        <x:v>Продукты</x:v>
      </x:c>
      <x:c r="D249" s="2" t="str">
        <x:v>Шоколад</x:v>
      </x:c>
      <x:c r="E249" s="7" t="n">
        <x:v>14391.3</x:v>
      </x:c>
      <x:c r="F249" s="9" t="n">
        <x:v>4</x:v>
      </x:c>
      <x:c r="G249" s="2" t="str">
        <x:v>Санкт‑Петербург</x:v>
      </x:c>
      <x:c r="H249" s="7" t="n">
        <x:f>E249*F249</x:f>
        <x:v>57565.2</x:v>
      </x:c>
      <x:c r="I249" s="2" t="str">
        <x:f>TEXT(B249,"yyyy-mm")</x:f>
        <x:v>2023-03</x:v>
      </x:c>
      <x:c r="J249" s="8" t="n">
        <x:f>COUNTIFS($H$2:$H$1201,"&gt;"&amp;H249)+COUNTIFS($H$2:H249,H249)</x:f>
        <x:v>1066</x:v>
      </x:c>
      <x:c r="K249" s="1"/>
      <x:c r="L249" s="1"/>
    </x:row>
    <x:row r="250" ht="22" customHeight="1">
      <x:c r="A250" s="8" t="n">
        <x:v>101</x:v>
      </x:c>
      <x:c r="B250" s="6" t="n">
        <x:v>45009</x:v>
      </x:c>
      <x:c r="C250" s="2" t="str">
        <x:v>Одежда</x:v>
      </x:c>
      <x:c r="D250" s="2" t="str">
        <x:v>Кроссовки</x:v>
      </x:c>
      <x:c r="E250" s="7" t="n">
        <x:v>24800.36</x:v>
      </x:c>
      <x:c r="F250" s="9" t="n">
        <x:v>5</x:v>
      </x:c>
      <x:c r="G250" s="2" t="str">
        <x:v>Москва</x:v>
      </x:c>
      <x:c r="H250" s="7" t="n">
        <x:f>E250*F250</x:f>
        <x:v>124001.8</x:v>
      </x:c>
      <x:c r="I250" s="2" t="str">
        <x:f>TEXT(B250,"yyyy-mm")</x:f>
        <x:v>2023-03</x:v>
      </x:c>
      <x:c r="J250" s="8" t="n">
        <x:f>COUNTIFS($H$2:$H$1201,"&gt;"&amp;H250)+COUNTIFS($H$2:H250,H250)</x:f>
        <x:v>916</x:v>
      </x:c>
      <x:c r="K250" s="1"/>
      <x:c r="L250" s="1"/>
    </x:row>
    <x:row r="251" ht="22" customHeight="1">
      <x:c r="A251" s="8" t="n">
        <x:v>440</x:v>
      </x:c>
      <x:c r="B251" s="6" t="n">
        <x:v>45009</x:v>
      </x:c>
      <x:c r="C251" s="2" t="str">
        <x:v>Продукты</x:v>
      </x:c>
      <x:c r="D251" s="2" t="str">
        <x:v>Хлеб</x:v>
      </x:c>
      <x:c r="E251" s="7" t="n">
        <x:v>119760.13</x:v>
      </x:c>
      <x:c r="F251" s="9" t="n">
        <x:v>7</x:v>
      </x:c>
      <x:c r="G251" s="2" t="str">
        <x:v>Екатеринбург</x:v>
      </x:c>
      <x:c r="H251" s="7" t="n">
        <x:f>E251*F251</x:f>
        <x:v>838320.91</x:v>
      </x:c>
      <x:c r="I251" s="2" t="str">
        <x:f>TEXT(B251,"yyyy-mm")</x:f>
        <x:v>2023-03</x:v>
      </x:c>
      <x:c r="J251" s="8" t="n">
        <x:f>COUNTIFS($H$2:$H$1201,"&gt;"&amp;H251)+COUNTIFS($H$2:H251,H251)</x:f>
        <x:v>173</x:v>
      </x:c>
      <x:c r="K251" s="1"/>
      <x:c r="L251" s="1"/>
    </x:row>
    <x:row r="252" ht="22" customHeight="1">
      <x:c r="A252" s="8" t="n">
        <x:v>698</x:v>
      </x:c>
      <x:c r="B252" s="6" t="n">
        <x:v>45009</x:v>
      </x:c>
      <x:c r="C252" s="2" t="str">
        <x:v>Товары для дома</x:v>
      </x:c>
      <x:c r="D252" s="2" t="str">
        <x:v>Полотенце</x:v>
      </x:c>
      <x:c r="E252" s="7" t="n">
        <x:v>36441.35</x:v>
      </x:c>
      <x:c r="F252" s="9" t="n">
        <x:v>9</x:v>
      </x:c>
      <x:c r="G252" s="2" t="str">
        <x:v>Московская область</x:v>
      </x:c>
      <x:c r="H252" s="7" t="n">
        <x:f>E252*F252</x:f>
        <x:v>327972.14999999997</x:v>
      </x:c>
      <x:c r="I252" s="2" t="str">
        <x:f>TEXT(B252,"yyyy-mm")</x:f>
        <x:v>2023-03</x:v>
      </x:c>
      <x:c r="J252" s="8" t="n">
        <x:f>COUNTIFS($H$2:$H$1201,"&gt;"&amp;H252)+COUNTIFS($H$2:H252,H252)</x:f>
        <x:v>604</x:v>
      </x:c>
      <x:c r="K252" s="1"/>
      <x:c r="L252" s="1"/>
    </x:row>
    <x:row r="253" ht="22" customHeight="1">
      <x:c r="A253" s="8" t="n">
        <x:v>269</x:v>
      </x:c>
      <x:c r="B253" s="6" t="n">
        <x:v>45011</x:v>
      </x:c>
      <x:c r="C253" s="2" t="str">
        <x:v>Одежда</x:v>
      </x:c>
      <x:c r="D253" s="2" t="str">
        <x:v>Футболка</x:v>
      </x:c>
      <x:c r="E253" s="7" t="n">
        <x:v>23528.84</x:v>
      </x:c>
      <x:c r="F253" s="9" t="n">
        <x:v>2</x:v>
      </x:c>
      <x:c r="G253" s="2" t="str">
        <x:v>Новосибирск</x:v>
      </x:c>
      <x:c r="H253" s="7" t="n">
        <x:f>E253*F253</x:f>
        <x:v>47057.68</x:v>
      </x:c>
      <x:c r="I253" s="2" t="str">
        <x:f>TEXT(B253,"yyyy-mm")</x:f>
        <x:v>2023-03</x:v>
      </x:c>
      <x:c r="J253" s="8" t="n">
        <x:f>COUNTIFS($H$2:$H$1201,"&gt;"&amp;H253)+COUNTIFS($H$2:H253,H253)</x:f>
        <x:v>1093</x:v>
      </x:c>
      <x:c r="K253" s="1"/>
      <x:c r="L253" s="1"/>
    </x:row>
    <x:row r="254" ht="22" customHeight="1">
      <x:c r="A254" s="8" t="n">
        <x:v>339</x:v>
      </x:c>
      <x:c r="B254" s="6" t="n">
        <x:v>45011</x:v>
      </x:c>
      <x:c r="C254" s="2" t="str">
        <x:v>Продукты</x:v>
      </x:c>
      <x:c r="D254" s="2" t="str">
        <x:v>Кофе</x:v>
      </x:c>
      <x:c r="E254" s="7" t="n">
        <x:v>139982.61</x:v>
      </x:c>
      <x:c r="F254" s="9" t="n">
        <x:v>6</x:v>
      </x:c>
      <x:c r="G254" s="2" t="str">
        <x:v>Екатеринбург</x:v>
      </x:c>
      <x:c r="H254" s="7" t="n">
        <x:f>E254*F254</x:f>
        <x:v>839895.6599999999</x:v>
      </x:c>
      <x:c r="I254" s="2" t="str">
        <x:f>TEXT(B254,"yyyy-mm")</x:f>
        <x:v>2023-03</x:v>
      </x:c>
      <x:c r="J254" s="8" t="n">
        <x:f>COUNTIFS($H$2:$H$1201,"&gt;"&amp;H254)+COUNTIFS($H$2:H254,H254)</x:f>
        <x:v>171</x:v>
      </x:c>
      <x:c r="K254" s="1"/>
      <x:c r="L254" s="1"/>
    </x:row>
    <x:row r="255" ht="22" customHeight="1">
      <x:c r="A255" s="8" t="n">
        <x:v>728</x:v>
      </x:c>
      <x:c r="B255" s="6" t="n">
        <x:v>45011</x:v>
      </x:c>
      <x:c r="C255" s="2" t="str">
        <x:v>Электроника</x:v>
      </x:c>
      <x:c r="D255" s="2" t="str">
        <x:v>Наушники</x:v>
      </x:c>
      <x:c r="E255" s="7" t="n">
        <x:v>23649.3</x:v>
      </x:c>
      <x:c r="F255" s="9" t="n">
        <x:v>10</x:v>
      </x:c>
      <x:c r="G255" s="2" t="str">
        <x:v>Санкт‑Петербург</x:v>
      </x:c>
      <x:c r="H255" s="7" t="n">
        <x:f>E255*F255</x:f>
        <x:v>236493</x:v>
      </x:c>
      <x:c r="I255" s="2" t="str">
        <x:f>TEXT(B255,"yyyy-mm")</x:f>
        <x:v>2023-03</x:v>
      </x:c>
      <x:c r="J255" s="8" t="n">
        <x:f>COUNTIFS($H$2:$H$1201,"&gt;"&amp;H255)+COUNTIFS($H$2:H255,H255)</x:f>
        <x:v>729</x:v>
      </x:c>
      <x:c r="K255" s="1"/>
      <x:c r="L255" s="1"/>
    </x:row>
    <x:row r="256" ht="22" customHeight="1">
      <x:c r="A256" s="8" t="n">
        <x:v>842</x:v>
      </x:c>
      <x:c r="B256" s="6" t="n">
        <x:v>45011</x:v>
      </x:c>
      <x:c r="C256" s="2" t="str">
        <x:v>Товары для дома</x:v>
      </x:c>
      <x:c r="D256" s="2" t="str">
        <x:v>Кружка</x:v>
      </x:c>
      <x:c r="E256" s="7" t="n">
        <x:v>55179.96</x:v>
      </x:c>
      <x:c r="F256" s="9" t="n">
        <x:v>1</x:v>
      </x:c>
      <x:c r="G256" s="2" t="str">
        <x:v>Санкт‑Петербург</x:v>
      </x:c>
      <x:c r="H256" s="7" t="n">
        <x:f>E256*F256</x:f>
        <x:v>55179.96</x:v>
      </x:c>
      <x:c r="I256" s="2" t="str">
        <x:f>TEXT(B256,"yyyy-mm")</x:f>
        <x:v>2023-03</x:v>
      </x:c>
      <x:c r="J256" s="8" t="n">
        <x:f>COUNTIFS($H$2:$H$1201,"&gt;"&amp;H256)+COUNTIFS($H$2:H256,H256)</x:f>
        <x:v>1075</x:v>
      </x:c>
      <x:c r="K256" s="1"/>
      <x:c r="L256" s="1"/>
    </x:row>
    <x:row r="257" ht="22" customHeight="1">
      <x:c r="A257" s="8" t="n">
        <x:v>877</x:v>
      </x:c>
      <x:c r="B257" s="6" t="n">
        <x:v>45011</x:v>
      </x:c>
      <x:c r="C257" s="2" t="str">
        <x:v>Товары для дома</x:v>
      </x:c>
      <x:c r="D257" s="2" t="str">
        <x:v>Полотенце</x:v>
      </x:c>
      <x:c r="E257" s="7" t="n">
        <x:v>5940.27</x:v>
      </x:c>
      <x:c r="F257" s="9" t="n">
        <x:v>4</x:v>
      </x:c>
      <x:c r="G257" s="2" t="str">
        <x:v>Екатеринбург</x:v>
      </x:c>
      <x:c r="H257" s="7" t="n">
        <x:f>E257*F257</x:f>
        <x:v>23761.08</x:v>
      </x:c>
      <x:c r="I257" s="2" t="str">
        <x:f>TEXT(B257,"yyyy-mm")</x:f>
        <x:v>2023-03</x:v>
      </x:c>
      <x:c r="J257" s="8" t="n">
        <x:f>COUNTIFS($H$2:$H$1201,"&gt;"&amp;H257)+COUNTIFS($H$2:H257,H257)</x:f>
        <x:v>1145</x:v>
      </x:c>
      <x:c r="K257" s="1"/>
      <x:c r="L257" s="1"/>
    </x:row>
    <x:row r="258" ht="22" customHeight="1">
      <x:c r="A258" s="8" t="n">
        <x:v>973</x:v>
      </x:c>
      <x:c r="B258" s="6" t="n">
        <x:v>45011</x:v>
      </x:c>
      <x:c r="C258" s="2" t="str">
        <x:v>Продукты</x:v>
      </x:c>
      <x:c r="D258" s="2" t="str">
        <x:v>Молоко</x:v>
      </x:c>
      <x:c r="E258" s="7" t="n">
        <x:v>13710.09</x:v>
      </x:c>
      <x:c r="F258" s="9" t="n">
        <x:v>1</x:v>
      </x:c>
      <x:c r="G258" s="2" t="str">
        <x:v>Московская область</x:v>
      </x:c>
      <x:c r="H258" s="7" t="n">
        <x:f>E258*F258</x:f>
        <x:v>13710.09</x:v>
      </x:c>
      <x:c r="I258" s="2" t="str">
        <x:f>TEXT(B258,"yyyy-mm")</x:f>
        <x:v>2023-03</x:v>
      </x:c>
      <x:c r="J258" s="8" t="n">
        <x:f>COUNTIFS($H$2:$H$1201,"&gt;"&amp;H258)+COUNTIFS($H$2:H258,H258)</x:f>
        <x:v>1170</x:v>
      </x:c>
      <x:c r="K258" s="1"/>
      <x:c r="L258" s="1"/>
    </x:row>
    <x:row r="259" ht="22" customHeight="1">
      <x:c r="A259" s="8" t="n">
        <x:v>189</x:v>
      </x:c>
      <x:c r="B259" s="6" t="n">
        <x:v>45012</x:v>
      </x:c>
      <x:c r="C259" s="2" t="str">
        <x:v>Одежда</x:v>
      </x:c>
      <x:c r="D259" s="2" t="str">
        <x:v>Футболка</x:v>
      </x:c>
      <x:c r="E259" s="7" t="n">
        <x:v>2554.73</x:v>
      </x:c>
      <x:c r="F259" s="9" t="n">
        <x:v>5</x:v>
      </x:c>
      <x:c r="G259" s="2" t="str">
        <x:v>Казань</x:v>
      </x:c>
      <x:c r="H259" s="7" t="n">
        <x:f>E259*F259</x:f>
        <x:v>12773.65</x:v>
      </x:c>
      <x:c r="I259" s="2" t="str">
        <x:f>TEXT(B259,"yyyy-mm")</x:f>
        <x:v>2023-03</x:v>
      </x:c>
      <x:c r="J259" s="8" t="n">
        <x:f>COUNTIFS($H$2:$H$1201,"&gt;"&amp;H259)+COUNTIFS($H$2:H259,H259)</x:f>
        <x:v>1174</x:v>
      </x:c>
      <x:c r="K259" s="1"/>
      <x:c r="L259" s="1"/>
    </x:row>
    <x:row r="260" ht="22" customHeight="1">
      <x:c r="A260" s="8" t="n">
        <x:v>194</x:v>
      </x:c>
      <x:c r="B260" s="6" t="n">
        <x:v>45012</x:v>
      </x:c>
      <x:c r="C260" s="2" t="str">
        <x:v>Товары для дома</x:v>
      </x:c>
      <x:c r="D260" s="2" t="str">
        <x:v>Полотенце</x:v>
      </x:c>
      <x:c r="E260" s="7" t="n">
        <x:v>4597.96</x:v>
      </x:c>
      <x:c r="F260" s="9" t="n">
        <x:v>1</x:v>
      </x:c>
      <x:c r="G260" s="2" t="str">
        <x:v>Казань</x:v>
      </x:c>
      <x:c r="H260" s="7" t="n">
        <x:f>E260*F260</x:f>
        <x:v>4597.96</x:v>
      </x:c>
      <x:c r="I260" s="2" t="str">
        <x:f>TEXT(B260,"yyyy-mm")</x:f>
        <x:v>2023-03</x:v>
      </x:c>
      <x:c r="J260" s="8" t="n">
        <x:f>COUNTIFS($H$2:$H$1201,"&gt;"&amp;H260)+COUNTIFS($H$2:H260,H260)</x:f>
        <x:v>1192</x:v>
      </x:c>
      <x:c r="K260" s="1"/>
      <x:c r="L260" s="1"/>
    </x:row>
    <x:row r="261" ht="22" customHeight="1">
      <x:c r="A261" s="8" t="n">
        <x:v>264</x:v>
      </x:c>
      <x:c r="B261" s="6" t="n">
        <x:v>45012</x:v>
      </x:c>
      <x:c r="C261" s="2" t="str">
        <x:v>Электроника</x:v>
      </x:c>
      <x:c r="D261" s="2" t="str">
        <x:v>Ноутбук</x:v>
      </x:c>
      <x:c r="E261" s="7" t="n">
        <x:v>147762.48</x:v>
      </x:c>
      <x:c r="F261" s="9" t="n">
        <x:v>3</x:v>
      </x:c>
      <x:c r="G261" s="2" t="str">
        <x:v>Екатеринбург</x:v>
      </x:c>
      <x:c r="H261" s="7" t="n">
        <x:f>E261*F261</x:f>
        <x:v>443287.44000000006</x:v>
      </x:c>
      <x:c r="I261" s="2" t="str">
        <x:f>TEXT(B261,"yyyy-mm")</x:f>
        <x:v>2023-03</x:v>
      </x:c>
      <x:c r="J261" s="8" t="n">
        <x:f>COUNTIFS($H$2:$H$1201,"&gt;"&amp;H261)+COUNTIFS($H$2:H261,H261)</x:f>
        <x:v>461</x:v>
      </x:c>
      <x:c r="K261" s="1"/>
      <x:c r="L261" s="1"/>
    </x:row>
    <x:row r="262" ht="22" customHeight="1">
      <x:c r="A262" s="8" t="n">
        <x:v>542</x:v>
      </x:c>
      <x:c r="B262" s="6" t="n">
        <x:v>45012</x:v>
      </x:c>
      <x:c r="C262" s="2" t="str">
        <x:v>Товары для дома</x:v>
      </x:c>
      <x:c r="D262" s="2" t="str">
        <x:v>Подушка</x:v>
      </x:c>
      <x:c r="E262" s="7" t="n">
        <x:v>133645.54</x:v>
      </x:c>
      <x:c r="F262" s="9" t="n">
        <x:v>3</x:v>
      </x:c>
      <x:c r="G262" s="2" t="str">
        <x:v>Московская область</x:v>
      </x:c>
      <x:c r="H262" s="7" t="n">
        <x:f>E262*F262</x:f>
        <x:v>400936.62</x:v>
      </x:c>
      <x:c r="I262" s="2" t="str">
        <x:f>TEXT(B262,"yyyy-mm")</x:f>
        <x:v>2023-03</x:v>
      </x:c>
      <x:c r="J262" s="8" t="n">
        <x:f>COUNTIFS($H$2:$H$1201,"&gt;"&amp;H262)+COUNTIFS($H$2:H262,H262)</x:f>
        <x:v>514</x:v>
      </x:c>
      <x:c r="K262" s="1"/>
      <x:c r="L262" s="1"/>
    </x:row>
    <x:row r="263" ht="22" customHeight="1">
      <x:c r="A263" s="8" t="n">
        <x:v>976</x:v>
      </x:c>
      <x:c r="B263" s="6" t="n">
        <x:v>45013</x:v>
      </x:c>
      <x:c r="C263" s="2" t="str">
        <x:v>Товары для дома</x:v>
      </x:c>
      <x:c r="D263" s="2" t="str">
        <x:v>Кружка</x:v>
      </x:c>
      <x:c r="E263" s="7" t="n">
        <x:v>132712.03</x:v>
      </x:c>
      <x:c r="F263" s="9" t="n">
        <x:v>5</x:v>
      </x:c>
      <x:c r="G263" s="2" t="str">
        <x:v>Екатеринбург</x:v>
      </x:c>
      <x:c r="H263" s="7" t="n">
        <x:f>E263*F263</x:f>
        <x:v>663560.15</x:v>
      </x:c>
      <x:c r="I263" s="2" t="str">
        <x:f>TEXT(B263,"yyyy-mm")</x:f>
        <x:v>2023-03</x:v>
      </x:c>
      <x:c r="J263" s="8" t="n">
        <x:f>COUNTIFS($H$2:$H$1201,"&gt;"&amp;H263)+COUNTIFS($H$2:H263,H263)</x:f>
        <x:v>291</x:v>
      </x:c>
      <x:c r="K263" s="1"/>
      <x:c r="L263" s="1"/>
    </x:row>
    <x:row r="264" ht="22" customHeight="1">
      <x:c r="A264" s="8" t="n">
        <x:v>1073</x:v>
      </x:c>
      <x:c r="B264" s="6" t="n">
        <x:v>45013</x:v>
      </x:c>
      <x:c r="C264" s="2" t="str">
        <x:v>Электроника</x:v>
      </x:c>
      <x:c r="D264" s="2" t="str">
        <x:v>Планшет</x:v>
      </x:c>
      <x:c r="E264" s="7" t="n">
        <x:v>123659.73</x:v>
      </x:c>
      <x:c r="F264" s="9" t="n">
        <x:v>8</x:v>
      </x:c>
      <x:c r="G264" s="2" t="str">
        <x:v>Новосибирск</x:v>
      </x:c>
      <x:c r="H264" s="7" t="n">
        <x:f>E264*F264</x:f>
        <x:v>989277.84</x:v>
      </x:c>
      <x:c r="I264" s="2" t="str">
        <x:f>TEXT(B264,"yyyy-mm")</x:f>
        <x:v>2023-03</x:v>
      </x:c>
      <x:c r="J264" s="8" t="n">
        <x:f>COUNTIFS($H$2:$H$1201,"&gt;"&amp;H264)+COUNTIFS($H$2:H264,H264)</x:f>
        <x:v>93</x:v>
      </x:c>
      <x:c r="K264" s="1"/>
      <x:c r="L264" s="1"/>
    </x:row>
    <x:row r="265" ht="22" customHeight="1">
      <x:c r="A265" s="8" t="n">
        <x:v>29</x:v>
      </x:c>
      <x:c r="B265" s="6" t="n">
        <x:v>45014</x:v>
      </x:c>
      <x:c r="C265" s="2" t="str">
        <x:v>Электроника</x:v>
      </x:c>
      <x:c r="D265" s="2" t="str">
        <x:v>Планшет</x:v>
      </x:c>
      <x:c r="E265" s="7" t="n">
        <x:v>139479.29</x:v>
      </x:c>
      <x:c r="F265" s="9" t="n">
        <x:v>10</x:v>
      </x:c>
      <x:c r="G265" s="2" t="str">
        <x:v>Екатеринбург</x:v>
      </x:c>
      <x:c r="H265" s="7" t="n">
        <x:f>E265*F265</x:f>
        <x:v>1394792.9000000001</x:v>
      </x:c>
      <x:c r="I265" s="2" t="str">
        <x:f>TEXT(B265,"yyyy-mm")</x:f>
        <x:v>2023-03</x:v>
      </x:c>
      <x:c r="J265" s="8" t="n">
        <x:f>COUNTIFS($H$2:$H$1201,"&gt;"&amp;H265)+COUNTIFS($H$2:H265,H265)</x:f>
        <x:v>6</x:v>
      </x:c>
      <x:c r="K265" s="1"/>
      <x:c r="L265" s="1"/>
    </x:row>
    <x:row r="266" ht="22" customHeight="1">
      <x:c r="A266" s="8" t="n">
        <x:v>576</x:v>
      </x:c>
      <x:c r="B266" s="6" t="n">
        <x:v>45014</x:v>
      </x:c>
      <x:c r="C266" s="2" t="str">
        <x:v>Электроника</x:v>
      </x:c>
      <x:c r="D266" s="2" t="str">
        <x:v>Смартфон</x:v>
      </x:c>
      <x:c r="E266" s="7" t="n">
        <x:v>130055.48</x:v>
      </x:c>
      <x:c r="F266" s="9" t="n">
        <x:v>7</x:v>
      </x:c>
      <x:c r="G266" s="2" t="str">
        <x:v>Санкт‑Петербург</x:v>
      </x:c>
      <x:c r="H266" s="7" t="n">
        <x:f>E266*F266</x:f>
        <x:v>910388.36</x:v>
      </x:c>
      <x:c r="I266" s="2" t="str">
        <x:f>TEXT(B266,"yyyy-mm")</x:f>
        <x:v>2023-03</x:v>
      </x:c>
      <x:c r="J266" s="8" t="n">
        <x:f>COUNTIFS($H$2:$H$1201,"&gt;"&amp;H266)+COUNTIFS($H$2:H266,H266)</x:f>
        <x:v>132</x:v>
      </x:c>
      <x:c r="K266" s="1"/>
      <x:c r="L266" s="1"/>
    </x:row>
    <x:row r="267" ht="22" customHeight="1">
      <x:c r="A267" s="8" t="n">
        <x:v>771</x:v>
      </x:c>
      <x:c r="B267" s="6" t="n">
        <x:v>45014</x:v>
      </x:c>
      <x:c r="C267" s="2" t="str">
        <x:v>Одежда</x:v>
      </x:c>
      <x:c r="D267" s="2" t="str">
        <x:v>Футболка</x:v>
      </x:c>
      <x:c r="E267" s="7" t="n">
        <x:v>126544.85</x:v>
      </x:c>
      <x:c r="F267" s="9" t="n">
        <x:v>8</x:v>
      </x:c>
      <x:c r="G267" s="2" t="str">
        <x:v>Казань</x:v>
      </x:c>
      <x:c r="H267" s="7" t="n">
        <x:f>E267*F267</x:f>
        <x:v>1012358.8</x:v>
      </x:c>
      <x:c r="I267" s="2" t="str">
        <x:f>TEXT(B267,"yyyy-mm")</x:f>
        <x:v>2023-03</x:v>
      </x:c>
      <x:c r="J267" s="8" t="n">
        <x:f>COUNTIFS($H$2:$H$1201,"&gt;"&amp;H267)+COUNTIFS($H$2:H267,H267)</x:f>
        <x:v>86</x:v>
      </x:c>
      <x:c r="K267" s="1"/>
      <x:c r="L267" s="1"/>
    </x:row>
    <x:row r="268" ht="22" customHeight="1">
      <x:c r="A268" s="8" t="n">
        <x:v>953</x:v>
      </x:c>
      <x:c r="B268" s="6" t="n">
        <x:v>45014</x:v>
      </x:c>
      <x:c r="C268" s="2" t="str">
        <x:v>Одежда</x:v>
      </x:c>
      <x:c r="D268" s="2" t="str">
        <x:v>Футболка</x:v>
      </x:c>
      <x:c r="E268" s="7" t="n">
        <x:v>99534.03</x:v>
      </x:c>
      <x:c r="F268" s="9" t="n">
        <x:v>4</x:v>
      </x:c>
      <x:c r="G268" s="2" t="str">
        <x:v>Новосибирск</x:v>
      </x:c>
      <x:c r="H268" s="7" t="n">
        <x:f>E268*F268</x:f>
        <x:v>398136.12</x:v>
      </x:c>
      <x:c r="I268" s="2" t="str">
        <x:f>TEXT(B268,"yyyy-mm")</x:f>
        <x:v>2023-03</x:v>
      </x:c>
      <x:c r="J268" s="8" t="n">
        <x:f>COUNTIFS($H$2:$H$1201,"&gt;"&amp;H268)+COUNTIFS($H$2:H268,H268)</x:f>
        <x:v>520</x:v>
      </x:c>
      <x:c r="K268" s="1"/>
      <x:c r="L268" s="1"/>
    </x:row>
    <x:row r="269" ht="22" customHeight="1">
      <x:c r="A269" s="8" t="n">
        <x:v>969</x:v>
      </x:c>
      <x:c r="B269" s="6" t="n">
        <x:v>45014</x:v>
      </x:c>
      <x:c r="C269" s="2" t="str">
        <x:v>Продукты</x:v>
      </x:c>
      <x:c r="D269" s="2" t="str">
        <x:v>Молоко</x:v>
      </x:c>
      <x:c r="E269" s="7" t="n">
        <x:v>141809.49</x:v>
      </x:c>
      <x:c r="F269" s="9" t="n">
        <x:v>2</x:v>
      </x:c>
      <x:c r="G269" s="2" t="str">
        <x:v>Екатеринбург</x:v>
      </x:c>
      <x:c r="H269" s="7" t="n">
        <x:f>E269*F269</x:f>
        <x:v>283618.98</x:v>
      </x:c>
      <x:c r="I269" s="2" t="str">
        <x:f>TEXT(B269,"yyyy-mm")</x:f>
        <x:v>2023-03</x:v>
      </x:c>
      <x:c r="J269" s="8" t="n">
        <x:f>COUNTIFS($H$2:$H$1201,"&gt;"&amp;H269)+COUNTIFS($H$2:H269,H269)</x:f>
        <x:v>652</x:v>
      </x:c>
      <x:c r="K269" s="1"/>
      <x:c r="L269" s="1"/>
    </x:row>
    <x:row r="270" ht="22" customHeight="1">
      <x:c r="A270" s="8" t="n">
        <x:v>358</x:v>
      </x:c>
      <x:c r="B270" s="6" t="n">
        <x:v>45015</x:v>
      </x:c>
      <x:c r="C270" s="2" t="str">
        <x:v>Электроника</x:v>
      </x:c>
      <x:c r="D270" s="2" t="str">
        <x:v>Наушники</x:v>
      </x:c>
      <x:c r="E270" s="7" t="n">
        <x:v>78329.22</x:v>
      </x:c>
      <x:c r="F270" s="9" t="n">
        <x:v>9</x:v>
      </x:c>
      <x:c r="G270" s="2" t="str">
        <x:v>Московская область</x:v>
      </x:c>
      <x:c r="H270" s="7" t="n">
        <x:f>E270*F270</x:f>
        <x:v>704962.98</x:v>
      </x:c>
      <x:c r="I270" s="2" t="str">
        <x:f>TEXT(B270,"yyyy-mm")</x:f>
        <x:v>2023-03</x:v>
      </x:c>
      <x:c r="J270" s="8" t="n">
        <x:f>COUNTIFS($H$2:$H$1201,"&gt;"&amp;H270)+COUNTIFS($H$2:H270,H270)</x:f>
        <x:v>260</x:v>
      </x:c>
      <x:c r="K270" s="1"/>
      <x:c r="L270" s="1"/>
    </x:row>
    <x:row r="271" ht="22" customHeight="1">
      <x:c r="A271" s="8" t="n">
        <x:v>478</x:v>
      </x:c>
      <x:c r="B271" s="6" t="n">
        <x:v>45015</x:v>
      </x:c>
      <x:c r="C271" s="2" t="str">
        <x:v>Товары для дома</x:v>
      </x:c>
      <x:c r="D271" s="2" t="str">
        <x:v>Плед</x:v>
      </x:c>
      <x:c r="E271" s="7" t="n">
        <x:v>64318.9</x:v>
      </x:c>
      <x:c r="F271" s="9" t="n">
        <x:v>6</x:v>
      </x:c>
      <x:c r="G271" s="2" t="str">
        <x:v>Москва</x:v>
      </x:c>
      <x:c r="H271" s="7" t="n">
        <x:f>E271*F271</x:f>
        <x:v>385913.4</x:v>
      </x:c>
      <x:c r="I271" s="2" t="str">
        <x:f>TEXT(B271,"yyyy-mm")</x:f>
        <x:v>2023-03</x:v>
      </x:c>
      <x:c r="J271" s="8" t="n">
        <x:f>COUNTIFS($H$2:$H$1201,"&gt;"&amp;H271)+COUNTIFS($H$2:H271,H271)</x:f>
        <x:v>543</x:v>
      </x:c>
      <x:c r="K271" s="1"/>
      <x:c r="L271" s="1"/>
    </x:row>
    <x:row r="272" ht="22" customHeight="1">
      <x:c r="A272" s="8" t="n">
        <x:v>742</x:v>
      </x:c>
      <x:c r="B272" s="6" t="n">
        <x:v>45015</x:v>
      </x:c>
      <x:c r="C272" s="2" t="str">
        <x:v>Электроника</x:v>
      </x:c>
      <x:c r="D272" s="2" t="str">
        <x:v>Наушники</x:v>
      </x:c>
      <x:c r="E272" s="7" t="n">
        <x:v>14962.8</x:v>
      </x:c>
      <x:c r="F272" s="9" t="n">
        <x:v>8</x:v>
      </x:c>
      <x:c r="G272" s="2" t="str">
        <x:v>Казань</x:v>
      </x:c>
      <x:c r="H272" s="7" t="n">
        <x:f>E272*F272</x:f>
        <x:v>119702.4</x:v>
      </x:c>
      <x:c r="I272" s="2" t="str">
        <x:f>TEXT(B272,"yyyy-mm")</x:f>
        <x:v>2023-03</x:v>
      </x:c>
      <x:c r="J272" s="8" t="n">
        <x:f>COUNTIFS($H$2:$H$1201,"&gt;"&amp;H272)+COUNTIFS($H$2:H272,H272)</x:f>
        <x:v>927</x:v>
      </x:c>
      <x:c r="K272" s="1"/>
      <x:c r="L272" s="1"/>
    </x:row>
    <x:row r="273" ht="22" customHeight="1">
      <x:c r="A273" s="8" t="n">
        <x:v>424</x:v>
      </x:c>
      <x:c r="B273" s="6" t="n">
        <x:v>45016</x:v>
      </x:c>
      <x:c r="C273" s="2" t="str">
        <x:v>Товары для дома</x:v>
      </x:c>
      <x:c r="D273" s="2" t="str">
        <x:v>Кружка</x:v>
      </x:c>
      <x:c r="E273" s="7" t="n">
        <x:v>101747.64</x:v>
      </x:c>
      <x:c r="F273" s="9" t="n">
        <x:v>10</x:v>
      </x:c>
      <x:c r="G273" s="2" t="str">
        <x:v>Московская область</x:v>
      </x:c>
      <x:c r="H273" s="7" t="n">
        <x:f>E273*F273</x:f>
        <x:v>1017476.4</x:v>
      </x:c>
      <x:c r="I273" s="2" t="str">
        <x:f>TEXT(B273,"yyyy-mm")</x:f>
        <x:v>2023-03</x:v>
      </x:c>
      <x:c r="J273" s="8" t="n">
        <x:f>COUNTIFS($H$2:$H$1201,"&gt;"&amp;H273)+COUNTIFS($H$2:H273,H273)</x:f>
        <x:v>82</x:v>
      </x:c>
      <x:c r="K273" s="1"/>
      <x:c r="L273" s="1"/>
    </x:row>
    <x:row r="274" ht="22" customHeight="1">
      <x:c r="A274" s="8" t="n">
        <x:v>720</x:v>
      </x:c>
      <x:c r="B274" s="6" t="n">
        <x:v>45016</x:v>
      </x:c>
      <x:c r="C274" s="2" t="str">
        <x:v>Продукты</x:v>
      </x:c>
      <x:c r="D274" s="2" t="str">
        <x:v>Молоко</x:v>
      </x:c>
      <x:c r="E274" s="7" t="n">
        <x:v>135728.99</x:v>
      </x:c>
      <x:c r="F274" s="9" t="n">
        <x:v>9</x:v>
      </x:c>
      <x:c r="G274" s="2" t="str">
        <x:v>Казань</x:v>
      </x:c>
      <x:c r="H274" s="7" t="n">
        <x:f>E274*F274</x:f>
        <x:v>1221560.91</x:v>
      </x:c>
      <x:c r="I274" s="2" t="str">
        <x:f>TEXT(B274,"yyyy-mm")</x:f>
        <x:v>2023-03</x:v>
      </x:c>
      <x:c r="J274" s="8" t="n">
        <x:f>COUNTIFS($H$2:$H$1201,"&gt;"&amp;H274)+COUNTIFS($H$2:H274,H274)</x:f>
        <x:v>27</x:v>
      </x:c>
      <x:c r="K274" s="1"/>
      <x:c r="L274" s="1"/>
    </x:row>
    <x:row r="275" ht="22" customHeight="1">
      <x:c r="A275" s="8" t="n">
        <x:v>826</x:v>
      </x:c>
      <x:c r="B275" s="6" t="n">
        <x:v>45016</x:v>
      </x:c>
      <x:c r="C275" s="2" t="str">
        <x:v>Электроника</x:v>
      </x:c>
      <x:c r="D275" s="2" t="str">
        <x:v>Ноутбук</x:v>
      </x:c>
      <x:c r="E275" s="7" t="n">
        <x:v>98587.63</x:v>
      </x:c>
      <x:c r="F275" s="9" t="n">
        <x:v>1</x:v>
      </x:c>
      <x:c r="G275" s="2" t="str">
        <x:v>Московская область</x:v>
      </x:c>
      <x:c r="H275" s="7" t="n">
        <x:f>E275*F275</x:f>
        <x:v>98587.63</x:v>
      </x:c>
      <x:c r="I275" s="2" t="str">
        <x:f>TEXT(B275,"yyyy-mm")</x:f>
        <x:v>2023-03</x:v>
      </x:c>
      <x:c r="J275" s="8" t="n">
        <x:f>COUNTIFS($H$2:$H$1201,"&gt;"&amp;H275)+COUNTIFS($H$2:H275,H275)</x:f>
        <x:v>972</x:v>
      </x:c>
      <x:c r="K275" s="1"/>
      <x:c r="L275" s="1"/>
    </x:row>
    <x:row r="276" ht="22" customHeight="1">
      <x:c r="A276" s="8" t="n">
        <x:v>149</x:v>
      </x:c>
      <x:c r="B276" s="6" t="n">
        <x:v>45017</x:v>
      </x:c>
      <x:c r="C276" s="2" t="str">
        <x:v>Продукты</x:v>
      </x:c>
      <x:c r="D276" s="2" t="str">
        <x:v>Молоко</x:v>
      </x:c>
      <x:c r="E276" s="7" t="n">
        <x:v>26505.13</x:v>
      </x:c>
      <x:c r="F276" s="9" t="n">
        <x:v>10</x:v>
      </x:c>
      <x:c r="G276" s="2" t="str">
        <x:v>Санкт‑Петербург</x:v>
      </x:c>
      <x:c r="H276" s="7" t="n">
        <x:f>E276*F276</x:f>
        <x:v>265051.3</x:v>
      </x:c>
      <x:c r="I276" s="2" t="str">
        <x:f>TEXT(B276,"yyyy-mm")</x:f>
        <x:v>2023-04</x:v>
      </x:c>
      <x:c r="J276" s="8" t="n">
        <x:f>COUNTIFS($H$2:$H$1201,"&gt;"&amp;H276)+COUNTIFS($H$2:H276,H276)</x:f>
        <x:v>676</x:v>
      </x:c>
      <x:c r="K276" s="1"/>
      <x:c r="L276" s="1"/>
    </x:row>
    <x:row r="277" ht="22" customHeight="1">
      <x:c r="A277" s="8" t="n">
        <x:v>1195</x:v>
      </x:c>
      <x:c r="B277" s="6" t="n">
        <x:v>45017</x:v>
      </x:c>
      <x:c r="C277" s="2" t="str">
        <x:v>Одежда</x:v>
      </x:c>
      <x:c r="D277" s="2" t="str">
        <x:v>Джинсы</x:v>
      </x:c>
      <x:c r="E277" s="7" t="n">
        <x:v>105890.8</x:v>
      </x:c>
      <x:c r="F277" s="9" t="n">
        <x:v>5</x:v>
      </x:c>
      <x:c r="G277" s="2" t="str">
        <x:v>Казань</x:v>
      </x:c>
      <x:c r="H277" s="7" t="n">
        <x:f>E277*F277</x:f>
        <x:v>529454</x:v>
      </x:c>
      <x:c r="I277" s="2" t="str">
        <x:f>TEXT(B277,"yyyy-mm")</x:f>
        <x:v>2023-04</x:v>
      </x:c>
      <x:c r="J277" s="8" t="n">
        <x:f>COUNTIFS($H$2:$H$1201,"&gt;"&amp;H277)+COUNTIFS($H$2:H277,H277)</x:f>
        <x:v>386</x:v>
      </x:c>
      <x:c r="K277" s="1"/>
      <x:c r="L277" s="1"/>
    </x:row>
    <x:row r="278" ht="22" customHeight="1">
      <x:c r="A278" s="8" t="n">
        <x:v>210</x:v>
      </x:c>
      <x:c r="B278" s="6" t="n">
        <x:v>45018</x:v>
      </x:c>
      <x:c r="C278" s="2" t="str">
        <x:v>Одежда</x:v>
      </x:c>
      <x:c r="D278" s="2" t="str">
        <x:v>Джинсы</x:v>
      </x:c>
      <x:c r="E278" s="7" t="n">
        <x:v>59201.87</x:v>
      </x:c>
      <x:c r="F278" s="9" t="n">
        <x:v>2</x:v>
      </x:c>
      <x:c r="G278" s="2" t="str">
        <x:v>Санкт‑Петербург</x:v>
      </x:c>
      <x:c r="H278" s="7" t="n">
        <x:f>E278*F278</x:f>
        <x:v>118403.74</x:v>
      </x:c>
      <x:c r="I278" s="2" t="str">
        <x:f>TEXT(B278,"yyyy-mm")</x:f>
        <x:v>2023-04</x:v>
      </x:c>
      <x:c r="J278" s="8" t="n">
        <x:f>COUNTIFS($H$2:$H$1201,"&gt;"&amp;H278)+COUNTIFS($H$2:H278,H278)</x:f>
        <x:v>932</x:v>
      </x:c>
      <x:c r="K278" s="1"/>
      <x:c r="L278" s="1"/>
    </x:row>
    <x:row r="279" ht="22" customHeight="1">
      <x:c r="A279" s="8" t="n">
        <x:v>499</x:v>
      </x:c>
      <x:c r="B279" s="6" t="n">
        <x:v>45018</x:v>
      </x:c>
      <x:c r="C279" s="2" t="str">
        <x:v>Продукты</x:v>
      </x:c>
      <x:c r="D279" s="2" t="str">
        <x:v>Шоколад</x:v>
      </x:c>
      <x:c r="E279" s="7" t="n">
        <x:v>122195.74</x:v>
      </x:c>
      <x:c r="F279" s="9" t="n">
        <x:v>2</x:v>
      </x:c>
      <x:c r="G279" s="2" t="str">
        <x:v>Казань</x:v>
      </x:c>
      <x:c r="H279" s="7" t="n">
        <x:f>E279*F279</x:f>
        <x:v>244391.48</x:v>
      </x:c>
      <x:c r="I279" s="2" t="str">
        <x:f>TEXT(B279,"yyyy-mm")</x:f>
        <x:v>2023-04</x:v>
      </x:c>
      <x:c r="J279" s="8" t="n">
        <x:f>COUNTIFS($H$2:$H$1201,"&gt;"&amp;H279)+COUNTIFS($H$2:H279,H279)</x:f>
        <x:v>711</x:v>
      </x:c>
      <x:c r="K279" s="1"/>
      <x:c r="L279" s="1"/>
    </x:row>
    <x:row r="280" ht="22" customHeight="1">
      <x:c r="A280" s="8" t="n">
        <x:v>522</x:v>
      </x:c>
      <x:c r="B280" s="6" t="n">
        <x:v>45018</x:v>
      </x:c>
      <x:c r="C280" s="2" t="str">
        <x:v>Продукты</x:v>
      </x:c>
      <x:c r="D280" s="2" t="str">
        <x:v>Хлеб</x:v>
      </x:c>
      <x:c r="E280" s="7" t="n">
        <x:v>32226.01</x:v>
      </x:c>
      <x:c r="F280" s="9" t="n">
        <x:v>4</x:v>
      </x:c>
      <x:c r="G280" s="2" t="str">
        <x:v>Московская область</x:v>
      </x:c>
      <x:c r="H280" s="7" t="n">
        <x:f>E280*F280</x:f>
        <x:v>128904.04</x:v>
      </x:c>
      <x:c r="I280" s="2" t="str">
        <x:f>TEXT(B280,"yyyy-mm")</x:f>
        <x:v>2023-04</x:v>
      </x:c>
      <x:c r="J280" s="8" t="n">
        <x:f>COUNTIFS($H$2:$H$1201,"&gt;"&amp;H280)+COUNTIFS($H$2:H280,H280)</x:f>
        <x:v>908</x:v>
      </x:c>
      <x:c r="K280" s="1"/>
      <x:c r="L280" s="1"/>
    </x:row>
    <x:row r="281" ht="22" customHeight="1">
      <x:c r="A281" s="8" t="n">
        <x:v>939</x:v>
      </x:c>
      <x:c r="B281" s="6" t="n">
        <x:v>45018</x:v>
      </x:c>
      <x:c r="C281" s="2" t="str">
        <x:v>Электроника</x:v>
      </x:c>
      <x:c r="D281" s="2" t="str">
        <x:v>Наушники</x:v>
      </x:c>
      <x:c r="E281" s="7" t="n">
        <x:v>3624.85</x:v>
      </x:c>
      <x:c r="F281" s="9" t="n">
        <x:v>2</x:v>
      </x:c>
      <x:c r="G281" s="2" t="str">
        <x:v>Екатеринбург</x:v>
      </x:c>
      <x:c r="H281" s="7" t="n">
        <x:f>E281*F281</x:f>
        <x:v>7249.7</x:v>
      </x:c>
      <x:c r="I281" s="2" t="str">
        <x:f>TEXT(B281,"yyyy-mm")</x:f>
        <x:v>2023-04</x:v>
      </x:c>
      <x:c r="J281" s="8" t="n">
        <x:f>COUNTIFS($H$2:$H$1201,"&gt;"&amp;H281)+COUNTIFS($H$2:H281,H281)</x:f>
        <x:v>1188</x:v>
      </x:c>
      <x:c r="K281" s="1"/>
      <x:c r="L281" s="1"/>
    </x:row>
    <x:row r="282" ht="22" customHeight="1">
      <x:c r="A282" s="8" t="n">
        <x:v>441</x:v>
      </x:c>
      <x:c r="B282" s="6" t="n">
        <x:v>45019</x:v>
      </x:c>
      <x:c r="C282" s="2" t="str">
        <x:v>Одежда</x:v>
      </x:c>
      <x:c r="D282" s="2" t="str">
        <x:v>Кроссовки</x:v>
      </x:c>
      <x:c r="E282" s="7" t="n">
        <x:v>13897.12</x:v>
      </x:c>
      <x:c r="F282" s="9" t="n">
        <x:v>10</x:v>
      </x:c>
      <x:c r="G282" s="2" t="str">
        <x:v>Новосибирск</x:v>
      </x:c>
      <x:c r="H282" s="7" t="n">
        <x:f>E282*F282</x:f>
        <x:v>138971.2</x:v>
      </x:c>
      <x:c r="I282" s="2" t="str">
        <x:f>TEXT(B282,"yyyy-mm")</x:f>
        <x:v>2023-04</x:v>
      </x:c>
      <x:c r="J282" s="8" t="n">
        <x:f>COUNTIFS($H$2:$H$1201,"&gt;"&amp;H282)+COUNTIFS($H$2:H282,H282)</x:f>
        <x:v>881</x:v>
      </x:c>
      <x:c r="K282" s="1"/>
      <x:c r="L282" s="1"/>
    </x:row>
    <x:row r="283" ht="22" customHeight="1">
      <x:c r="A283" s="8" t="n">
        <x:v>539</x:v>
      </x:c>
      <x:c r="B283" s="6" t="n">
        <x:v>45019</x:v>
      </x:c>
      <x:c r="C283" s="2" t="str">
        <x:v>Товары для дома</x:v>
      </x:c>
      <x:c r="D283" s="2" t="str">
        <x:v>Кружка</x:v>
      </x:c>
      <x:c r="E283" s="7" t="n">
        <x:v>94813.91</x:v>
      </x:c>
      <x:c r="F283" s="9" t="n">
        <x:v>7</x:v>
      </x:c>
      <x:c r="G283" s="2" t="str">
        <x:v>Новосибирск</x:v>
      </x:c>
      <x:c r="H283" s="7" t="n">
        <x:f>E283*F283</x:f>
        <x:v>663697.37</x:v>
      </x:c>
      <x:c r="I283" s="2" t="str">
        <x:f>TEXT(B283,"yyyy-mm")</x:f>
        <x:v>2023-04</x:v>
      </x:c>
      <x:c r="J283" s="8" t="n">
        <x:f>COUNTIFS($H$2:$H$1201,"&gt;"&amp;H283)+COUNTIFS($H$2:H283,H283)</x:f>
        <x:v>290</x:v>
      </x:c>
      <x:c r="K283" s="1"/>
      <x:c r="L283" s="1"/>
    </x:row>
    <x:row r="284" ht="22" customHeight="1">
      <x:c r="A284" s="8" t="n">
        <x:v>674</x:v>
      </x:c>
      <x:c r="B284" s="6" t="n">
        <x:v>45019</x:v>
      </x:c>
      <x:c r="C284" s="2" t="str">
        <x:v>Электроника</x:v>
      </x:c>
      <x:c r="D284" s="2" t="str">
        <x:v>Ноутбук</x:v>
      </x:c>
      <x:c r="E284" s="7" t="n">
        <x:v>110157.69</x:v>
      </x:c>
      <x:c r="F284" s="9" t="n">
        <x:v>7</x:v>
      </x:c>
      <x:c r="G284" s="2" t="str">
        <x:v>Санкт‑Петербург</x:v>
      </x:c>
      <x:c r="H284" s="7" t="n">
        <x:f>E284*F284</x:f>
        <x:v>771103.8300000001</x:v>
      </x:c>
      <x:c r="I284" s="2" t="str">
        <x:f>TEXT(B284,"yyyy-mm")</x:f>
        <x:v>2023-04</x:v>
      </x:c>
      <x:c r="J284" s="8" t="n">
        <x:f>COUNTIFS($H$2:$H$1201,"&gt;"&amp;H284)+COUNTIFS($H$2:H284,H284)</x:f>
        <x:v>214</x:v>
      </x:c>
      <x:c r="K284" s="1"/>
      <x:c r="L284" s="1"/>
    </x:row>
    <x:row r="285" ht="22" customHeight="1">
      <x:c r="A285" s="8" t="n">
        <x:v>794</x:v>
      </x:c>
      <x:c r="B285" s="6" t="n">
        <x:v>45020</x:v>
      </x:c>
      <x:c r="C285" s="2" t="str">
        <x:v>Электроника</x:v>
      </x:c>
      <x:c r="D285" s="2" t="str">
        <x:v>Смартфон</x:v>
      </x:c>
      <x:c r="E285" s="7" t="n">
        <x:v>744.67</x:v>
      </x:c>
      <x:c r="F285" s="9" t="n">
        <x:v>5</x:v>
      </x:c>
      <x:c r="G285" s="2" t="str">
        <x:v>Казань</x:v>
      </x:c>
      <x:c r="H285" s="7" t="n">
        <x:f>E285*F285</x:f>
        <x:v>3723.35</x:v>
      </x:c>
      <x:c r="I285" s="2" t="str">
        <x:f>TEXT(B285,"yyyy-mm")</x:f>
        <x:v>2023-04</x:v>
      </x:c>
      <x:c r="J285" s="8" t="n">
        <x:f>COUNTIFS($H$2:$H$1201,"&gt;"&amp;H285)+COUNTIFS($H$2:H285,H285)</x:f>
        <x:v>1193</x:v>
      </x:c>
      <x:c r="K285" s="1"/>
      <x:c r="L285" s="1"/>
    </x:row>
    <x:row r="286" ht="22" customHeight="1">
      <x:c r="A286" s="8" t="n">
        <x:v>960</x:v>
      </x:c>
      <x:c r="B286" s="6" t="n">
        <x:v>45020</x:v>
      </x:c>
      <x:c r="C286" s="2" t="str">
        <x:v>Продукты</x:v>
      </x:c>
      <x:c r="D286" s="2" t="str">
        <x:v>Кофе</x:v>
      </x:c>
      <x:c r="E286" s="7" t="n">
        <x:v>104177.95</x:v>
      </x:c>
      <x:c r="F286" s="9" t="n">
        <x:v>4</x:v>
      </x:c>
      <x:c r="G286" s="2" t="str">
        <x:v>Москва</x:v>
      </x:c>
      <x:c r="H286" s="7" t="n">
        <x:f>E286*F286</x:f>
        <x:v>416711.8</x:v>
      </x:c>
      <x:c r="I286" s="2" t="str">
        <x:f>TEXT(B286,"yyyy-mm")</x:f>
        <x:v>2023-04</x:v>
      </x:c>
      <x:c r="J286" s="8" t="n">
        <x:f>COUNTIFS($H$2:$H$1201,"&gt;"&amp;H286)+COUNTIFS($H$2:H286,H286)</x:f>
        <x:v>498</x:v>
      </x:c>
      <x:c r="K286" s="1"/>
      <x:c r="L286" s="1"/>
    </x:row>
    <x:row r="287" ht="22" customHeight="1">
      <x:c r="A287" s="8" t="n">
        <x:v>801</x:v>
      </x:c>
      <x:c r="B287" s="6" t="n">
        <x:v>45021</x:v>
      </x:c>
      <x:c r="C287" s="2" t="str">
        <x:v>Продукты</x:v>
      </x:c>
      <x:c r="D287" s="2" t="str">
        <x:v>Молоко</x:v>
      </x:c>
      <x:c r="E287" s="7" t="n">
        <x:v>110347.26</x:v>
      </x:c>
      <x:c r="F287" s="9" t="n">
        <x:v>3</x:v>
      </x:c>
      <x:c r="G287" s="2" t="str">
        <x:v>Санкт‑Петербург</x:v>
      </x:c>
      <x:c r="H287" s="7" t="n">
        <x:f>E287*F287</x:f>
        <x:v>331041.77999999997</x:v>
      </x:c>
      <x:c r="I287" s="2" t="str">
        <x:f>TEXT(B287,"yyyy-mm")</x:f>
        <x:v>2023-04</x:v>
      </x:c>
      <x:c r="J287" s="8" t="n">
        <x:f>COUNTIFS($H$2:$H$1201,"&gt;"&amp;H287)+COUNTIFS($H$2:H287,H287)</x:f>
        <x:v>600</x:v>
      </x:c>
      <x:c r="K287" s="1"/>
      <x:c r="L287" s="1"/>
    </x:row>
    <x:row r="288" ht="22" customHeight="1">
      <x:c r="A288" s="8" t="n">
        <x:v>182</x:v>
      </x:c>
      <x:c r="B288" s="6" t="n">
        <x:v>45022</x:v>
      </x:c>
      <x:c r="C288" s="2" t="str">
        <x:v>Товары для дома</x:v>
      </x:c>
      <x:c r="D288" s="2" t="str">
        <x:v>Подушка</x:v>
      </x:c>
      <x:c r="E288" s="7" t="n">
        <x:v>129551.25</x:v>
      </x:c>
      <x:c r="F288" s="9" t="n">
        <x:v>1</x:v>
      </x:c>
      <x:c r="G288" s="2" t="str">
        <x:v>Екатеринбург</x:v>
      </x:c>
      <x:c r="H288" s="7" t="n">
        <x:f>E288*F288</x:f>
        <x:v>129551.25</x:v>
      </x:c>
      <x:c r="I288" s="2" t="str">
        <x:f>TEXT(B288,"yyyy-mm")</x:f>
        <x:v>2023-04</x:v>
      </x:c>
      <x:c r="J288" s="8" t="n">
        <x:f>COUNTIFS($H$2:$H$1201,"&gt;"&amp;H288)+COUNTIFS($H$2:H288,H288)</x:f>
        <x:v>904</x:v>
      </x:c>
      <x:c r="K288" s="1"/>
      <x:c r="L288" s="1"/>
    </x:row>
    <x:row r="289" ht="22" customHeight="1">
      <x:c r="A289" s="8" t="n">
        <x:v>1096</x:v>
      </x:c>
      <x:c r="B289" s="6" t="n">
        <x:v>45022</x:v>
      </x:c>
      <x:c r="C289" s="2" t="str">
        <x:v>Товары для дома</x:v>
      </x:c>
      <x:c r="D289" s="2" t="str">
        <x:v>Кружка</x:v>
      </x:c>
      <x:c r="E289" s="7" t="n">
        <x:v>6635.76</x:v>
      </x:c>
      <x:c r="F289" s="9" t="n">
        <x:v>3</x:v>
      </x:c>
      <x:c r="G289" s="2" t="str">
        <x:v>Новосибирск</x:v>
      </x:c>
      <x:c r="H289" s="7" t="n">
        <x:f>E289*F289</x:f>
        <x:v>19907.28</x:v>
      </x:c>
      <x:c r="I289" s="2" t="str">
        <x:f>TEXT(B289,"yyyy-mm")</x:f>
        <x:v>2023-04</x:v>
      </x:c>
      <x:c r="J289" s="8" t="n">
        <x:f>COUNTIFS($H$2:$H$1201,"&gt;"&amp;H289)+COUNTIFS($H$2:H289,H289)</x:f>
        <x:v>1153</x:v>
      </x:c>
      <x:c r="K289" s="1"/>
      <x:c r="L289" s="1"/>
    </x:row>
    <x:row r="290" ht="22" customHeight="1">
      <x:c r="A290" s="8" t="n">
        <x:v>581</x:v>
      </x:c>
      <x:c r="B290" s="6" t="n">
        <x:v>45023</x:v>
      </x:c>
      <x:c r="C290" s="2" t="str">
        <x:v>Одежда</x:v>
      </x:c>
      <x:c r="D290" s="2" t="str">
        <x:v>Джинсы</x:v>
      </x:c>
      <x:c r="E290" s="7" t="n">
        <x:v>40638.92</x:v>
      </x:c>
      <x:c r="F290" s="9" t="n">
        <x:v>6</x:v>
      </x:c>
      <x:c r="G290" s="2" t="str">
        <x:v>Санкт‑Петербург</x:v>
      </x:c>
      <x:c r="H290" s="7" t="n">
        <x:f>E290*F290</x:f>
        <x:v>243833.52</x:v>
      </x:c>
      <x:c r="I290" s="2" t="str">
        <x:f>TEXT(B290,"yyyy-mm")</x:f>
        <x:v>2023-04</x:v>
      </x:c>
      <x:c r="J290" s="8" t="n">
        <x:f>COUNTIFS($H$2:$H$1201,"&gt;"&amp;H290)+COUNTIFS($H$2:H290,H290)</x:f>
        <x:v>714</x:v>
      </x:c>
      <x:c r="K290" s="1"/>
      <x:c r="L290" s="1"/>
    </x:row>
    <x:row r="291" ht="22" customHeight="1">
      <x:c r="A291" s="8" t="n">
        <x:v>616</x:v>
      </x:c>
      <x:c r="B291" s="6" t="n">
        <x:v>45023</x:v>
      </x:c>
      <x:c r="C291" s="2" t="str">
        <x:v>Электроника</x:v>
      </x:c>
      <x:c r="D291" s="2" t="str">
        <x:v>Планшет</x:v>
      </x:c>
      <x:c r="E291" s="7" t="n">
        <x:v>128183.1</x:v>
      </x:c>
      <x:c r="F291" s="9" t="n">
        <x:v>2</x:v>
      </x:c>
      <x:c r="G291" s="2" t="str">
        <x:v>Москва</x:v>
      </x:c>
      <x:c r="H291" s="7" t="n">
        <x:f>E291*F291</x:f>
        <x:v>256366.2</x:v>
      </x:c>
      <x:c r="I291" s="2" t="str">
        <x:f>TEXT(B291,"yyyy-mm")</x:f>
        <x:v>2023-04</x:v>
      </x:c>
      <x:c r="J291" s="8" t="n">
        <x:f>COUNTIFS($H$2:$H$1201,"&gt;"&amp;H291)+COUNTIFS($H$2:H291,H291)</x:f>
        <x:v>691</x:v>
      </x:c>
      <x:c r="K291" s="1"/>
      <x:c r="L291" s="1"/>
    </x:row>
    <x:row r="292" ht="22" customHeight="1">
      <x:c r="A292" s="8" t="n">
        <x:v>839</x:v>
      </x:c>
      <x:c r="B292" s="6" t="n">
        <x:v>45023</x:v>
      </x:c>
      <x:c r="C292" s="2" t="str">
        <x:v>Продукты</x:v>
      </x:c>
      <x:c r="D292" s="2" t="str">
        <x:v>Шоколад</x:v>
      </x:c>
      <x:c r="E292" s="7" t="n">
        <x:v>54753.1</x:v>
      </x:c>
      <x:c r="F292" s="9" t="n">
        <x:v>8</x:v>
      </x:c>
      <x:c r="G292" s="2" t="str">
        <x:v>Казань</x:v>
      </x:c>
      <x:c r="H292" s="7" t="n">
        <x:f>E292*F292</x:f>
        <x:v>438024.8</x:v>
      </x:c>
      <x:c r="I292" s="2" t="str">
        <x:f>TEXT(B292,"yyyy-mm")</x:f>
        <x:v>2023-04</x:v>
      </x:c>
      <x:c r="J292" s="8" t="n">
        <x:f>COUNTIFS($H$2:$H$1201,"&gt;"&amp;H292)+COUNTIFS($H$2:H292,H292)</x:f>
        <x:v>471</x:v>
      </x:c>
      <x:c r="K292" s="1"/>
      <x:c r="L292" s="1"/>
    </x:row>
    <x:row r="293" ht="22" customHeight="1">
      <x:c r="A293" s="8" t="n">
        <x:v>310</x:v>
      </x:c>
      <x:c r="B293" s="6" t="n">
        <x:v>45024</x:v>
      </x:c>
      <x:c r="C293" s="2" t="str">
        <x:v>Электроника</x:v>
      </x:c>
      <x:c r="D293" s="2" t="str">
        <x:v>Планшет</x:v>
      </x:c>
      <x:c r="E293" s="7" t="n">
        <x:v>141394.94</x:v>
      </x:c>
      <x:c r="F293" s="9" t="n">
        <x:v>8</x:v>
      </x:c>
      <x:c r="G293" s="2" t="str">
        <x:v>Казань</x:v>
      </x:c>
      <x:c r="H293" s="7" t="n">
        <x:f>E293*F293</x:f>
        <x:v>1131159.52</x:v>
      </x:c>
      <x:c r="I293" s="2" t="str">
        <x:f>TEXT(B293,"yyyy-mm")</x:f>
        <x:v>2023-04</x:v>
      </x:c>
      <x:c r="J293" s="8" t="n">
        <x:f>COUNTIFS($H$2:$H$1201,"&gt;"&amp;H293)+COUNTIFS($H$2:H293,H293)</x:f>
        <x:v>53</x:v>
      </x:c>
      <x:c r="K293" s="1"/>
      <x:c r="L293" s="1"/>
    </x:row>
    <x:row r="294" ht="22" customHeight="1">
      <x:c r="A294" s="8" t="n">
        <x:v>533</x:v>
      </x:c>
      <x:c r="B294" s="6" t="n">
        <x:v>45024</x:v>
      </x:c>
      <x:c r="C294" s="2" t="str">
        <x:v>Товары для дома</x:v>
      </x:c>
      <x:c r="D294" s="2" t="str">
        <x:v>Кружка</x:v>
      </x:c>
      <x:c r="E294" s="7" t="n">
        <x:v>90995.6</x:v>
      </x:c>
      <x:c r="F294" s="9" t="n">
        <x:v>3</x:v>
      </x:c>
      <x:c r="G294" s="2" t="str">
        <x:v>Московская область</x:v>
      </x:c>
      <x:c r="H294" s="7" t="n">
        <x:f>E294*F294</x:f>
        <x:v>272986.80000000005</x:v>
      </x:c>
      <x:c r="I294" s="2" t="str">
        <x:f>TEXT(B294,"yyyy-mm")</x:f>
        <x:v>2023-04</x:v>
      </x:c>
      <x:c r="J294" s="8" t="n">
        <x:f>COUNTIFS($H$2:$H$1201,"&gt;"&amp;H294)+COUNTIFS($H$2:H294,H294)</x:f>
        <x:v>667</x:v>
      </x:c>
      <x:c r="K294" s="1"/>
      <x:c r="L294" s="1"/>
    </x:row>
    <x:row r="295" ht="22" customHeight="1">
      <x:c r="A295" s="8" t="n">
        <x:v>920</x:v>
      </x:c>
      <x:c r="B295" s="6" t="n">
        <x:v>45024</x:v>
      </x:c>
      <x:c r="C295" s="2" t="str">
        <x:v>Продукты</x:v>
      </x:c>
      <x:c r="D295" s="2" t="str">
        <x:v>Хлеб</x:v>
      </x:c>
      <x:c r="E295" s="7" t="n">
        <x:v>98898.06</x:v>
      </x:c>
      <x:c r="F295" s="9" t="n">
        <x:v>5</x:v>
      </x:c>
      <x:c r="G295" s="2" t="str">
        <x:v>Санкт‑Петербург</x:v>
      </x:c>
      <x:c r="H295" s="7" t="n">
        <x:f>E295*F295</x:f>
        <x:v>494490.3</x:v>
      </x:c>
      <x:c r="I295" s="2" t="str">
        <x:f>TEXT(B295,"yyyy-mm")</x:f>
        <x:v>2023-04</x:v>
      </x:c>
      <x:c r="J295" s="8" t="n">
        <x:f>COUNTIFS($H$2:$H$1201,"&gt;"&amp;H295)+COUNTIFS($H$2:H295,H295)</x:f>
        <x:v>416</x:v>
      </x:c>
      <x:c r="K295" s="1"/>
      <x:c r="L295" s="1"/>
    </x:row>
    <x:row r="296" ht="22" customHeight="1">
      <x:c r="A296" s="8" t="n">
        <x:v>962</x:v>
      </x:c>
      <x:c r="B296" s="6" t="n">
        <x:v>45024</x:v>
      </x:c>
      <x:c r="C296" s="2" t="str">
        <x:v>Электроника</x:v>
      </x:c>
      <x:c r="D296" s="2" t="str">
        <x:v>Ноутбук</x:v>
      </x:c>
      <x:c r="E296" s="7" t="n">
        <x:v>135134.33</x:v>
      </x:c>
      <x:c r="F296" s="9" t="n">
        <x:v>1</x:v>
      </x:c>
      <x:c r="G296" s="2" t="str">
        <x:v>Казань</x:v>
      </x:c>
      <x:c r="H296" s="7" t="n">
        <x:f>E296*F296</x:f>
        <x:v>135134.33</x:v>
      </x:c>
      <x:c r="I296" s="2" t="str">
        <x:f>TEXT(B296,"yyyy-mm")</x:f>
        <x:v>2023-04</x:v>
      </x:c>
      <x:c r="J296" s="8" t="n">
        <x:f>COUNTIFS($H$2:$H$1201,"&gt;"&amp;H296)+COUNTIFS($H$2:H296,H296)</x:f>
        <x:v>892</x:v>
      </x:c>
      <x:c r="K296" s="1"/>
      <x:c r="L296" s="1"/>
    </x:row>
    <x:row r="297" ht="22" customHeight="1">
      <x:c r="A297" s="8" t="n">
        <x:v>1194</x:v>
      </x:c>
      <x:c r="B297" s="6" t="n">
        <x:v>45024</x:v>
      </x:c>
      <x:c r="C297" s="2" t="str">
        <x:v>Продукты</x:v>
      </x:c>
      <x:c r="D297" s="2" t="str">
        <x:v>Шоколад</x:v>
      </x:c>
      <x:c r="E297" s="7" t="n">
        <x:v>121930.43</x:v>
      </x:c>
      <x:c r="F297" s="9" t="n">
        <x:v>5</x:v>
      </x:c>
      <x:c r="G297" s="2" t="str">
        <x:v>Новосибирск</x:v>
      </x:c>
      <x:c r="H297" s="7" t="n">
        <x:f>E297*F297</x:f>
        <x:v>609652.1499999999</x:v>
      </x:c>
      <x:c r="I297" s="2" t="str">
        <x:f>TEXT(B297,"yyyy-mm")</x:f>
        <x:v>2023-04</x:v>
      </x:c>
      <x:c r="J297" s="8" t="n">
        <x:f>COUNTIFS($H$2:$H$1201,"&gt;"&amp;H297)+COUNTIFS($H$2:H297,H297)</x:f>
        <x:v>311</x:v>
      </x:c>
      <x:c r="K297" s="1"/>
      <x:c r="L297" s="1"/>
    </x:row>
    <x:row r="298" ht="22" customHeight="1">
      <x:c r="A298" s="8" t="n">
        <x:v>226</x:v>
      </x:c>
      <x:c r="B298" s="6" t="n">
        <x:v>45025</x:v>
      </x:c>
      <x:c r="C298" s="2" t="str">
        <x:v>Товары для дома</x:v>
      </x:c>
      <x:c r="D298" s="2" t="str">
        <x:v>Полотенце</x:v>
      </x:c>
      <x:c r="E298" s="7" t="n">
        <x:v>31993.25</x:v>
      </x:c>
      <x:c r="F298" s="9" t="n">
        <x:v>5</x:v>
      </x:c>
      <x:c r="G298" s="2" t="str">
        <x:v>Москва</x:v>
      </x:c>
      <x:c r="H298" s="7" t="n">
        <x:f>E298*F298</x:f>
        <x:v>159966.25</x:v>
      </x:c>
      <x:c r="I298" s="2" t="str">
        <x:f>TEXT(B298,"yyyy-mm")</x:f>
        <x:v>2023-04</x:v>
      </x:c>
      <x:c r="J298" s="8" t="n">
        <x:f>COUNTIFS($H$2:$H$1201,"&gt;"&amp;H298)+COUNTIFS($H$2:H298,H298)</x:f>
        <x:v>839</x:v>
      </x:c>
      <x:c r="K298" s="1"/>
      <x:c r="L298" s="1"/>
    </x:row>
    <x:row r="299" ht="22" customHeight="1">
      <x:c r="A299" s="8" t="n">
        <x:v>666</x:v>
      </x:c>
      <x:c r="B299" s="6" t="n">
        <x:v>45025</x:v>
      </x:c>
      <x:c r="C299" s="2" t="str">
        <x:v>Товары для дома</x:v>
      </x:c>
      <x:c r="D299" s="2" t="str">
        <x:v>Плед</x:v>
      </x:c>
      <x:c r="E299" s="7" t="n">
        <x:v>104700.34</x:v>
      </x:c>
      <x:c r="F299" s="9" t="n">
        <x:v>7</x:v>
      </x:c>
      <x:c r="G299" s="2" t="str">
        <x:v>Санкт‑Петербург</x:v>
      </x:c>
      <x:c r="H299" s="7" t="n">
        <x:f>E299*F299</x:f>
        <x:v>732902.38</x:v>
      </x:c>
      <x:c r="I299" s="2" t="str">
        <x:f>TEXT(B299,"yyyy-mm")</x:f>
        <x:v>2023-04</x:v>
      </x:c>
      <x:c r="J299" s="8" t="n">
        <x:f>COUNTIFS($H$2:$H$1201,"&gt;"&amp;H299)+COUNTIFS($H$2:H299,H299)</x:f>
        <x:v>239</x:v>
      </x:c>
      <x:c r="K299" s="1"/>
      <x:c r="L299" s="1"/>
    </x:row>
    <x:row r="300" ht="22" customHeight="1">
      <x:c r="A300" s="8" t="n">
        <x:v>861</x:v>
      </x:c>
      <x:c r="B300" s="6" t="n">
        <x:v>45025</x:v>
      </x:c>
      <x:c r="C300" s="2" t="str">
        <x:v>Продукты</x:v>
      </x:c>
      <x:c r="D300" s="2" t="str">
        <x:v>Кофе</x:v>
      </x:c>
      <x:c r="E300" s="7" t="n">
        <x:v>125304.82</x:v>
      </x:c>
      <x:c r="F300" s="9" t="n">
        <x:v>6</x:v>
      </x:c>
      <x:c r="G300" s="2" t="str">
        <x:v>Москва</x:v>
      </x:c>
      <x:c r="H300" s="7" t="n">
        <x:f>E300*F300</x:f>
        <x:v>751828.92</x:v>
      </x:c>
      <x:c r="I300" s="2" t="str">
        <x:f>TEXT(B300,"yyyy-mm")</x:f>
        <x:v>2023-04</x:v>
      </x:c>
      <x:c r="J300" s="8" t="n">
        <x:f>COUNTIFS($H$2:$H$1201,"&gt;"&amp;H300)+COUNTIFS($H$2:H300,H300)</x:f>
        <x:v>227</x:v>
      </x:c>
      <x:c r="K300" s="1"/>
      <x:c r="L300" s="1"/>
    </x:row>
    <x:row r="301" ht="22" customHeight="1">
      <x:c r="A301" s="8" t="n">
        <x:v>1</x:v>
      </x:c>
      <x:c r="B301" s="6" t="n">
        <x:v>45026</x:v>
      </x:c>
      <x:c r="C301" s="2" t="str">
        <x:v>Товары для дома</x:v>
      </x:c>
      <x:c r="D301" s="2" t="str">
        <x:v>Кружка</x:v>
      </x:c>
      <x:c r="E301" s="7" t="n">
        <x:v>7871.6</x:v>
      </x:c>
      <x:c r="F301" s="9" t="n">
        <x:v>6</x:v>
      </x:c>
      <x:c r="G301" s="2" t="str">
        <x:v>Санкт‑Петербург</x:v>
      </x:c>
      <x:c r="H301" s="7" t="n">
        <x:f>E301*F301</x:f>
        <x:v>47229.600000000006</x:v>
      </x:c>
      <x:c r="I301" s="2" t="str">
        <x:f>TEXT(B301,"yyyy-mm")</x:f>
        <x:v>2023-04</x:v>
      </x:c>
      <x:c r="J301" s="8" t="n">
        <x:f>COUNTIFS($H$2:$H$1201,"&gt;"&amp;H301)+COUNTIFS($H$2:H301,H301)</x:f>
        <x:v>1092</x:v>
      </x:c>
      <x:c r="K301" s="1"/>
      <x:c r="L301" s="1"/>
    </x:row>
    <x:row r="302" ht="22" customHeight="1">
      <x:c r="A302" s="8" t="n">
        <x:v>470</x:v>
      </x:c>
      <x:c r="B302" s="6" t="n">
        <x:v>45026</x:v>
      </x:c>
      <x:c r="C302" s="2" t="str">
        <x:v>Товары для дома</x:v>
      </x:c>
      <x:c r="D302" s="2" t="str">
        <x:v>Плед</x:v>
      </x:c>
      <x:c r="E302" s="7" t="n">
        <x:v>111384.18</x:v>
      </x:c>
      <x:c r="F302" s="9" t="n">
        <x:v>7</x:v>
      </x:c>
      <x:c r="G302" s="2" t="str">
        <x:v>Екатеринбург</x:v>
      </x:c>
      <x:c r="H302" s="7" t="n">
        <x:f>E302*F302</x:f>
        <x:v>779689.26</x:v>
      </x:c>
      <x:c r="I302" s="2" t="str">
        <x:f>TEXT(B302,"yyyy-mm")</x:f>
        <x:v>2023-04</x:v>
      </x:c>
      <x:c r="J302" s="8" t="n">
        <x:f>COUNTIFS($H$2:$H$1201,"&gt;"&amp;H302)+COUNTIFS($H$2:H302,H302)</x:f>
        <x:v>205</x:v>
      </x:c>
      <x:c r="K302" s="1"/>
      <x:c r="L302" s="1"/>
    </x:row>
    <x:row r="303" ht="22" customHeight="1">
      <x:c r="A303" s="8" t="n">
        <x:v>506</x:v>
      </x:c>
      <x:c r="B303" s="6" t="n">
        <x:v>45026</x:v>
      </x:c>
      <x:c r="C303" s="2" t="str">
        <x:v>Товары для дома</x:v>
      </x:c>
      <x:c r="D303" s="2" t="str">
        <x:v>Кружка</x:v>
      </x:c>
      <x:c r="E303" s="7" t="n">
        <x:v>48206.04</x:v>
      </x:c>
      <x:c r="F303" s="9" t="n">
        <x:v>4</x:v>
      </x:c>
      <x:c r="G303" s="2" t="str">
        <x:v>Санкт‑Петербург</x:v>
      </x:c>
      <x:c r="H303" s="7" t="n">
        <x:f>E303*F303</x:f>
        <x:v>192824.16</x:v>
      </x:c>
      <x:c r="I303" s="2" t="str">
        <x:f>TEXT(B303,"yyyy-mm")</x:f>
        <x:v>2023-04</x:v>
      </x:c>
      <x:c r="J303" s="8" t="n">
        <x:f>COUNTIFS($H$2:$H$1201,"&gt;"&amp;H303)+COUNTIFS($H$2:H303,H303)</x:f>
        <x:v>800</x:v>
      </x:c>
      <x:c r="K303" s="1"/>
      <x:c r="L303" s="1"/>
    </x:row>
    <x:row r="304" ht="22" customHeight="1">
      <x:c r="A304" s="8" t="n">
        <x:v>865</x:v>
      </x:c>
      <x:c r="B304" s="6" t="n">
        <x:v>45026</x:v>
      </x:c>
      <x:c r="C304" s="2" t="str">
        <x:v>Одежда</x:v>
      </x:c>
      <x:c r="D304" s="2" t="str">
        <x:v>Джинсы</x:v>
      </x:c>
      <x:c r="E304" s="7" t="n">
        <x:v>33177.85</x:v>
      </x:c>
      <x:c r="F304" s="9" t="n">
        <x:v>10</x:v>
      </x:c>
      <x:c r="G304" s="2" t="str">
        <x:v>Казань</x:v>
      </x:c>
      <x:c r="H304" s="7" t="n">
        <x:f>E304*F304</x:f>
        <x:v>331778.5</x:v>
      </x:c>
      <x:c r="I304" s="2" t="str">
        <x:f>TEXT(B304,"yyyy-mm")</x:f>
        <x:v>2023-04</x:v>
      </x:c>
      <x:c r="J304" s="8" t="n">
        <x:f>COUNTIFS($H$2:$H$1201,"&gt;"&amp;H304)+COUNTIFS($H$2:H304,H304)</x:f>
        <x:v>599</x:v>
      </x:c>
      <x:c r="K304" s="1"/>
      <x:c r="L304" s="1"/>
    </x:row>
    <x:row r="305" ht="22" customHeight="1">
      <x:c r="A305" s="8" t="n">
        <x:v>1170</x:v>
      </x:c>
      <x:c r="B305" s="6" t="n">
        <x:v>45026</x:v>
      </x:c>
      <x:c r="C305" s="2" t="str">
        <x:v>Электроника</x:v>
      </x:c>
      <x:c r="D305" s="2" t="str">
        <x:v>Смартфон</x:v>
      </x:c>
      <x:c r="E305" s="7" t="n">
        <x:v>101969.33</x:v>
      </x:c>
      <x:c r="F305" s="9" t="n">
        <x:v>4</x:v>
      </x:c>
      <x:c r="G305" s="2" t="str">
        <x:v>Московская область</x:v>
      </x:c>
      <x:c r="H305" s="7" t="n">
        <x:f>E305*F305</x:f>
        <x:v>407877.32</x:v>
      </x:c>
      <x:c r="I305" s="2" t="str">
        <x:f>TEXT(B305,"yyyy-mm")</x:f>
        <x:v>2023-04</x:v>
      </x:c>
      <x:c r="J305" s="8" t="n">
        <x:f>COUNTIFS($H$2:$H$1201,"&gt;"&amp;H305)+COUNTIFS($H$2:H305,H305)</x:f>
        <x:v>507</x:v>
      </x:c>
      <x:c r="K305" s="1"/>
      <x:c r="L305" s="1"/>
    </x:row>
    <x:row r="306" ht="22" customHeight="1">
      <x:c r="A306" s="8" t="n">
        <x:v>15</x:v>
      </x:c>
      <x:c r="B306" s="6" t="n">
        <x:v>45027</x:v>
      </x:c>
      <x:c r="C306" s="2" t="str">
        <x:v>Одежда</x:v>
      </x:c>
      <x:c r="D306" s="2" t="str">
        <x:v>Джинсы</x:v>
      </x:c>
      <x:c r="E306" s="7" t="n">
        <x:v>120909.43</x:v>
      </x:c>
      <x:c r="F306" s="9" t="n">
        <x:v>3</x:v>
      </x:c>
      <x:c r="G306" s="2" t="str">
        <x:v>Санкт‑Петербург</x:v>
      </x:c>
      <x:c r="H306" s="7" t="n">
        <x:f>E306*F306</x:f>
        <x:v>362728.29</x:v>
      </x:c>
      <x:c r="I306" s="2" t="str">
        <x:f>TEXT(B306,"yyyy-mm")</x:f>
        <x:v>2023-04</x:v>
      </x:c>
      <x:c r="J306" s="8" t="n">
        <x:f>COUNTIFS($H$2:$H$1201,"&gt;"&amp;H306)+COUNTIFS($H$2:H306,H306)</x:f>
        <x:v>569</x:v>
      </x:c>
      <x:c r="K306" s="1"/>
      <x:c r="L306" s="1"/>
    </x:row>
    <x:row r="307" ht="22" customHeight="1">
      <x:c r="A307" s="8" t="n">
        <x:v>897</x:v>
      </x:c>
      <x:c r="B307" s="6" t="n">
        <x:v>45027</x:v>
      </x:c>
      <x:c r="C307" s="2" t="str">
        <x:v>Продукты</x:v>
      </x:c>
      <x:c r="D307" s="2" t="str">
        <x:v>Кофе</x:v>
      </x:c>
      <x:c r="E307" s="7" t="n">
        <x:v>112600.55</x:v>
      </x:c>
      <x:c r="F307" s="9" t="n">
        <x:v>10</x:v>
      </x:c>
      <x:c r="G307" s="2" t="str">
        <x:v>Санкт‑Петербург</x:v>
      </x:c>
      <x:c r="H307" s="7" t="n">
        <x:f>E307*F307</x:f>
        <x:v>1126005.5</x:v>
      </x:c>
      <x:c r="I307" s="2" t="str">
        <x:f>TEXT(B307,"yyyy-mm")</x:f>
        <x:v>2023-04</x:v>
      </x:c>
      <x:c r="J307" s="8" t="n">
        <x:f>COUNTIFS($H$2:$H$1201,"&gt;"&amp;H307)+COUNTIFS($H$2:H307,H307)</x:f>
        <x:v>56</x:v>
      </x:c>
      <x:c r="K307" s="1"/>
      <x:c r="L307" s="1"/>
    </x:row>
    <x:row r="308" ht="22" customHeight="1">
      <x:c r="A308" s="8" t="n">
        <x:v>1159</x:v>
      </x:c>
      <x:c r="B308" s="6" t="n">
        <x:v>45027</x:v>
      </x:c>
      <x:c r="C308" s="2" t="str">
        <x:v>Одежда</x:v>
      </x:c>
      <x:c r="D308" s="2" t="str">
        <x:v>Футболка</x:v>
      </x:c>
      <x:c r="E308" s="7" t="n">
        <x:v>75369.1</x:v>
      </x:c>
      <x:c r="F308" s="9" t="n">
        <x:v>10</x:v>
      </x:c>
      <x:c r="G308" s="2" t="str">
        <x:v>Московская область</x:v>
      </x:c>
      <x:c r="H308" s="7" t="n">
        <x:f>E308*F308</x:f>
        <x:v>753691</x:v>
      </x:c>
      <x:c r="I308" s="2" t="str">
        <x:f>TEXT(B308,"yyyy-mm")</x:f>
        <x:v>2023-04</x:v>
      </x:c>
      <x:c r="J308" s="8" t="n">
        <x:f>COUNTIFS($H$2:$H$1201,"&gt;"&amp;H308)+COUNTIFS($H$2:H308,H308)</x:f>
        <x:v>225</x:v>
      </x:c>
      <x:c r="K308" s="1"/>
      <x:c r="L308" s="1"/>
    </x:row>
    <x:row r="309" ht="22" customHeight="1">
      <x:c r="A309" s="8" t="n">
        <x:v>259</x:v>
      </x:c>
      <x:c r="B309" s="6" t="n">
        <x:v>45028</x:v>
      </x:c>
      <x:c r="C309" s="2" t="str">
        <x:v>Электроника</x:v>
      </x:c>
      <x:c r="D309" s="2" t="str">
        <x:v>Планшет</x:v>
      </x:c>
      <x:c r="E309" s="7" t="n">
        <x:v>10931.97</x:v>
      </x:c>
      <x:c r="F309" s="9" t="n">
        <x:v>4</x:v>
      </x:c>
      <x:c r="G309" s="2" t="str">
        <x:v>Казань</x:v>
      </x:c>
      <x:c r="H309" s="7" t="n">
        <x:f>E309*F309</x:f>
        <x:v>43727.88</x:v>
      </x:c>
      <x:c r="I309" s="2" t="str">
        <x:f>TEXT(B309,"yyyy-mm")</x:f>
        <x:v>2023-04</x:v>
      </x:c>
      <x:c r="J309" s="8" t="n">
        <x:f>COUNTIFS($H$2:$H$1201,"&gt;"&amp;H309)+COUNTIFS($H$2:H309,H309)</x:f>
        <x:v>1100</x:v>
      </x:c>
      <x:c r="K309" s="1"/>
      <x:c r="L309" s="1"/>
    </x:row>
    <x:row r="310" ht="22" customHeight="1">
      <x:c r="A310" s="8" t="n">
        <x:v>281</x:v>
      </x:c>
      <x:c r="B310" s="6" t="n">
        <x:v>45028</x:v>
      </x:c>
      <x:c r="C310" s="2" t="str">
        <x:v>Одежда</x:v>
      </x:c>
      <x:c r="D310" s="2" t="str">
        <x:v>Джинсы</x:v>
      </x:c>
      <x:c r="E310" s="7" t="n">
        <x:v>16407.54</x:v>
      </x:c>
      <x:c r="F310" s="9" t="n">
        <x:v>6</x:v>
      </x:c>
      <x:c r="G310" s="2" t="str">
        <x:v>Санкт‑Петербург</x:v>
      </x:c>
      <x:c r="H310" s="7" t="n">
        <x:f>E310*F310</x:f>
        <x:v>98445.24</x:v>
      </x:c>
      <x:c r="I310" s="2" t="str">
        <x:f>TEXT(B310,"yyyy-mm")</x:f>
        <x:v>2023-04</x:v>
      </x:c>
      <x:c r="J310" s="8" t="n">
        <x:f>COUNTIFS($H$2:$H$1201,"&gt;"&amp;H310)+COUNTIFS($H$2:H310,H310)</x:f>
        <x:v>973</x:v>
      </x:c>
      <x:c r="K310" s="1"/>
      <x:c r="L310" s="1"/>
    </x:row>
    <x:row r="311" ht="22" customHeight="1">
      <x:c r="A311" s="8" t="n">
        <x:v>719</x:v>
      </x:c>
      <x:c r="B311" s="6" t="n">
        <x:v>45028</x:v>
      </x:c>
      <x:c r="C311" s="2" t="str">
        <x:v>Одежда</x:v>
      </x:c>
      <x:c r="D311" s="2" t="str">
        <x:v>Футболка</x:v>
      </x:c>
      <x:c r="E311" s="7" t="n">
        <x:v>89425.8</x:v>
      </x:c>
      <x:c r="F311" s="9" t="n">
        <x:v>10</x:v>
      </x:c>
      <x:c r="G311" s="2" t="str">
        <x:v>Москва</x:v>
      </x:c>
      <x:c r="H311" s="7" t="n">
        <x:f>E311*F311</x:f>
        <x:v>894258</x:v>
      </x:c>
      <x:c r="I311" s="2" t="str">
        <x:f>TEXT(B311,"yyyy-mm")</x:f>
        <x:v>2023-04</x:v>
      </x:c>
      <x:c r="J311" s="8" t="n">
        <x:f>COUNTIFS($H$2:$H$1201,"&gt;"&amp;H311)+COUNTIFS($H$2:H311,H311)</x:f>
        <x:v>136</x:v>
      </x:c>
      <x:c r="K311" s="1"/>
      <x:c r="L311" s="1"/>
    </x:row>
    <x:row r="312" ht="22" customHeight="1">
      <x:c r="A312" s="8" t="n">
        <x:v>812</x:v>
      </x:c>
      <x:c r="B312" s="6" t="n">
        <x:v>45028</x:v>
      </x:c>
      <x:c r="C312" s="2" t="str">
        <x:v>Одежда</x:v>
      </x:c>
      <x:c r="D312" s="2" t="str">
        <x:v>Футболка</x:v>
      </x:c>
      <x:c r="E312" s="7" t="n">
        <x:v>32174.45</x:v>
      </x:c>
      <x:c r="F312" s="9" t="n">
        <x:v>6</x:v>
      </x:c>
      <x:c r="G312" s="2" t="str">
        <x:v>Московская область</x:v>
      </x:c>
      <x:c r="H312" s="7" t="n">
        <x:f>E312*F312</x:f>
        <x:v>193046.7</x:v>
      </x:c>
      <x:c r="I312" s="2" t="str">
        <x:f>TEXT(B312,"yyyy-mm")</x:f>
        <x:v>2023-04</x:v>
      </x:c>
      <x:c r="J312" s="8" t="n">
        <x:f>COUNTIFS($H$2:$H$1201,"&gt;"&amp;H312)+COUNTIFS($H$2:H312,H312)</x:f>
        <x:v>799</x:v>
      </x:c>
      <x:c r="K312" s="1"/>
      <x:c r="L312" s="1"/>
    </x:row>
    <x:row r="313" ht="22" customHeight="1">
      <x:c r="A313" s="8" t="n">
        <x:v>929</x:v>
      </x:c>
      <x:c r="B313" s="6" t="n">
        <x:v>45028</x:v>
      </x:c>
      <x:c r="C313" s="2" t="str">
        <x:v>Продукты</x:v>
      </x:c>
      <x:c r="D313" s="2" t="str">
        <x:v>Хлеб</x:v>
      </x:c>
      <x:c r="E313" s="7" t="n">
        <x:v>96306.18</x:v>
      </x:c>
      <x:c r="F313" s="9" t="n">
        <x:v>6</x:v>
      </x:c>
      <x:c r="G313" s="2" t="str">
        <x:v>Екатеринбург</x:v>
      </x:c>
      <x:c r="H313" s="7" t="n">
        <x:f>E313*F313</x:f>
        <x:v>577837.08</x:v>
      </x:c>
      <x:c r="I313" s="2" t="str">
        <x:f>TEXT(B313,"yyyy-mm")</x:f>
        <x:v>2023-04</x:v>
      </x:c>
      <x:c r="J313" s="8" t="n">
        <x:f>COUNTIFS($H$2:$H$1201,"&gt;"&amp;H313)+COUNTIFS($H$2:H313,H313)</x:f>
        <x:v>335</x:v>
      </x:c>
      <x:c r="K313" s="1"/>
      <x:c r="L313" s="1"/>
    </x:row>
    <x:row r="314" ht="22" customHeight="1">
      <x:c r="A314" s="8" t="n">
        <x:v>99</x:v>
      </x:c>
      <x:c r="B314" s="6" t="n">
        <x:v>45029</x:v>
      </x:c>
      <x:c r="C314" s="2" t="str">
        <x:v>Товары для дома</x:v>
      </x:c>
      <x:c r="D314" s="2" t="str">
        <x:v>Подушка</x:v>
      </x:c>
      <x:c r="E314" s="7" t="n">
        <x:v>93165.82</x:v>
      </x:c>
      <x:c r="F314" s="9" t="n">
        <x:v>4</x:v>
      </x:c>
      <x:c r="G314" s="2" t="str">
        <x:v>Московская область</x:v>
      </x:c>
      <x:c r="H314" s="7" t="n">
        <x:f>E314*F314</x:f>
        <x:v>372663.28</x:v>
      </x:c>
      <x:c r="I314" s="2" t="str">
        <x:f>TEXT(B314,"yyyy-mm")</x:f>
        <x:v>2023-04</x:v>
      </x:c>
      <x:c r="J314" s="8" t="n">
        <x:f>COUNTIFS($H$2:$H$1201,"&gt;"&amp;H314)+COUNTIFS($H$2:H314,H314)</x:f>
        <x:v>555</x:v>
      </x:c>
      <x:c r="K314" s="1"/>
      <x:c r="L314" s="1"/>
    </x:row>
    <x:row r="315" ht="22" customHeight="1">
      <x:c r="A315" s="8" t="n">
        <x:v>298</x:v>
      </x:c>
      <x:c r="B315" s="6" t="n">
        <x:v>45029</x:v>
      </x:c>
      <x:c r="C315" s="2" t="str">
        <x:v>Одежда</x:v>
      </x:c>
      <x:c r="D315" s="2" t="str">
        <x:v>Куртка</x:v>
      </x:c>
      <x:c r="E315" s="7" t="n">
        <x:v>123862.52</x:v>
      </x:c>
      <x:c r="F315" s="9" t="n">
        <x:v>2</x:v>
      </x:c>
      <x:c r="G315" s="2" t="str">
        <x:v>Казань</x:v>
      </x:c>
      <x:c r="H315" s="7" t="n">
        <x:f>E315*F315</x:f>
        <x:v>247725.04</x:v>
      </x:c>
      <x:c r="I315" s="2" t="str">
        <x:f>TEXT(B315,"yyyy-mm")</x:f>
        <x:v>2023-04</x:v>
      </x:c>
      <x:c r="J315" s="8" t="n">
        <x:f>COUNTIFS($H$2:$H$1201,"&gt;"&amp;H315)+COUNTIFS($H$2:H315,H315)</x:f>
        <x:v>707</x:v>
      </x:c>
      <x:c r="K315" s="1"/>
      <x:c r="L315" s="1"/>
    </x:row>
    <x:row r="316" ht="22" customHeight="1">
      <x:c r="A316" s="8" t="n">
        <x:v>834</x:v>
      </x:c>
      <x:c r="B316" s="6" t="n">
        <x:v>45029</x:v>
      </x:c>
      <x:c r="C316" s="2" t="str">
        <x:v>Товары для дома</x:v>
      </x:c>
      <x:c r="D316" s="2" t="str">
        <x:v>Полотенце</x:v>
      </x:c>
      <x:c r="E316" s="7" t="n">
        <x:v>111416.45</x:v>
      </x:c>
      <x:c r="F316" s="9" t="n">
        <x:v>10</x:v>
      </x:c>
      <x:c r="G316" s="2" t="str">
        <x:v>Москва</x:v>
      </x:c>
      <x:c r="H316" s="7" t="n">
        <x:f>E316*F316</x:f>
        <x:v>1114164.5</x:v>
      </x:c>
      <x:c r="I316" s="2" t="str">
        <x:f>TEXT(B316,"yyyy-mm")</x:f>
        <x:v>2023-04</x:v>
      </x:c>
      <x:c r="J316" s="8" t="n">
        <x:f>COUNTIFS($H$2:$H$1201,"&gt;"&amp;H316)+COUNTIFS($H$2:H316,H316)</x:f>
        <x:v>61</x:v>
      </x:c>
      <x:c r="K316" s="1"/>
      <x:c r="L316" s="1"/>
    </x:row>
    <x:row r="317" ht="22" customHeight="1">
      <x:c r="A317" s="8" t="n">
        <x:v>903</x:v>
      </x:c>
      <x:c r="B317" s="6" t="n">
        <x:v>45029</x:v>
      </x:c>
      <x:c r="C317" s="2" t="str">
        <x:v>Продукты</x:v>
      </x:c>
      <x:c r="D317" s="2" t="str">
        <x:v>Хлеб</x:v>
      </x:c>
      <x:c r="E317" s="7" t="n">
        <x:v>29884.66</x:v>
      </x:c>
      <x:c r="F317" s="9" t="n">
        <x:v>3</x:v>
      </x:c>
      <x:c r="G317" s="2" t="str">
        <x:v>Московская область</x:v>
      </x:c>
      <x:c r="H317" s="7" t="n">
        <x:f>E317*F317</x:f>
        <x:v>89653.98</x:v>
      </x:c>
      <x:c r="I317" s="2" t="str">
        <x:f>TEXT(B317,"yyyy-mm")</x:f>
        <x:v>2023-04</x:v>
      </x:c>
      <x:c r="J317" s="8" t="n">
        <x:f>COUNTIFS($H$2:$H$1201,"&gt;"&amp;H317)+COUNTIFS($H$2:H317,H317)</x:f>
        <x:v>994</x:v>
      </x:c>
      <x:c r="K317" s="1"/>
      <x:c r="L317" s="1"/>
    </x:row>
    <x:row r="318" ht="22" customHeight="1">
      <x:c r="A318" s="8" t="n">
        <x:v>599</x:v>
      </x:c>
      <x:c r="B318" s="6" t="n">
        <x:v>45030</x:v>
      </x:c>
      <x:c r="C318" s="2" t="str">
        <x:v>Товары для дома</x:v>
      </x:c>
      <x:c r="D318" s="2" t="str">
        <x:v>Кружка</x:v>
      </x:c>
      <x:c r="E318" s="7" t="n">
        <x:v>50325.25</x:v>
      </x:c>
      <x:c r="F318" s="9" t="n">
        <x:v>1</x:v>
      </x:c>
      <x:c r="G318" s="2" t="str">
        <x:v>Екатеринбург</x:v>
      </x:c>
      <x:c r="H318" s="7" t="n">
        <x:f>E318*F318</x:f>
        <x:v>50325.25</x:v>
      </x:c>
      <x:c r="I318" s="2" t="str">
        <x:f>TEXT(B318,"yyyy-mm")</x:f>
        <x:v>2023-04</x:v>
      </x:c>
      <x:c r="J318" s="8" t="n">
        <x:f>COUNTIFS($H$2:$H$1201,"&gt;"&amp;H318)+COUNTIFS($H$2:H318,H318)</x:f>
        <x:v>1086</x:v>
      </x:c>
      <x:c r="K318" s="1"/>
      <x:c r="L318" s="1"/>
    </x:row>
    <x:row r="319" ht="22" customHeight="1">
      <x:c r="A319" s="8" t="n">
        <x:v>755</x:v>
      </x:c>
      <x:c r="B319" s="6" t="n">
        <x:v>45030</x:v>
      </x:c>
      <x:c r="C319" s="2" t="str">
        <x:v>Продукты</x:v>
      </x:c>
      <x:c r="D319" s="2" t="str">
        <x:v>Шоколад</x:v>
      </x:c>
      <x:c r="E319" s="7" t="n">
        <x:v>115725.3</x:v>
      </x:c>
      <x:c r="F319" s="9" t="n">
        <x:v>6</x:v>
      </x:c>
      <x:c r="G319" s="2" t="str">
        <x:v>Новосибирск</x:v>
      </x:c>
      <x:c r="H319" s="7" t="n">
        <x:f>E319*F319</x:f>
        <x:v>694351.8</x:v>
      </x:c>
      <x:c r="I319" s="2" t="str">
        <x:f>TEXT(B319,"yyyy-mm")</x:f>
        <x:v>2023-04</x:v>
      </x:c>
      <x:c r="J319" s="8" t="n">
        <x:f>COUNTIFS($H$2:$H$1201,"&gt;"&amp;H319)+COUNTIFS($H$2:H319,H319)</x:f>
        <x:v>265</x:v>
      </x:c>
      <x:c r="K319" s="1"/>
      <x:c r="L319" s="1"/>
    </x:row>
    <x:row r="320" ht="22" customHeight="1">
      <x:c r="A320" s="8" t="n">
        <x:v>7</x:v>
      </x:c>
      <x:c r="B320" s="6" t="n">
        <x:v>45031</x:v>
      </x:c>
      <x:c r="C320" s="2" t="str">
        <x:v>Продукты</x:v>
      </x:c>
      <x:c r="D320" s="2" t="str">
        <x:v>Молоко</x:v>
      </x:c>
      <x:c r="E320" s="7" t="n">
        <x:v>142462.51</x:v>
      </x:c>
      <x:c r="F320" s="9" t="n">
        <x:v>5</x:v>
      </x:c>
      <x:c r="G320" s="2" t="str">
        <x:v>Екатеринбург</x:v>
      </x:c>
      <x:c r="H320" s="7" t="n">
        <x:f>E320*F320</x:f>
        <x:v>712312.55</x:v>
      </x:c>
      <x:c r="I320" s="2" t="str">
        <x:f>TEXT(B320,"yyyy-mm")</x:f>
        <x:v>2023-04</x:v>
      </x:c>
      <x:c r="J320" s="8" t="n">
        <x:f>COUNTIFS($H$2:$H$1201,"&gt;"&amp;H320)+COUNTIFS($H$2:H320,H320)</x:f>
        <x:v>255</x:v>
      </x:c>
      <x:c r="K320" s="1"/>
      <x:c r="L320" s="1"/>
    </x:row>
    <x:row r="321" ht="22" customHeight="1">
      <x:c r="A321" s="8" t="n">
        <x:v>156</x:v>
      </x:c>
      <x:c r="B321" s="6" t="n">
        <x:v>45031</x:v>
      </x:c>
      <x:c r="C321" s="2" t="str">
        <x:v>Одежда</x:v>
      </x:c>
      <x:c r="D321" s="2" t="str">
        <x:v>Джинсы</x:v>
      </x:c>
      <x:c r="E321" s="7" t="n">
        <x:v>146218.26</x:v>
      </x:c>
      <x:c r="F321" s="9" t="n">
        <x:v>3</x:v>
      </x:c>
      <x:c r="G321" s="2" t="str">
        <x:v>Новосибирск</x:v>
      </x:c>
      <x:c r="H321" s="7" t="n">
        <x:f>E321*F321</x:f>
        <x:v>438654.78</x:v>
      </x:c>
      <x:c r="I321" s="2" t="str">
        <x:f>TEXT(B321,"yyyy-mm")</x:f>
        <x:v>2023-04</x:v>
      </x:c>
      <x:c r="J321" s="8" t="n">
        <x:f>COUNTIFS($H$2:$H$1201,"&gt;"&amp;H321)+COUNTIFS($H$2:H321,H321)</x:f>
        <x:v>470</x:v>
      </x:c>
      <x:c r="K321" s="1"/>
      <x:c r="L321" s="1"/>
    </x:row>
    <x:row r="322" ht="22" customHeight="1">
      <x:c r="A322" s="8" t="n">
        <x:v>376</x:v>
      </x:c>
      <x:c r="B322" s="6" t="n">
        <x:v>45031</x:v>
      </x:c>
      <x:c r="C322" s="2" t="str">
        <x:v>Товары для дома</x:v>
      </x:c>
      <x:c r="D322" s="2" t="str">
        <x:v>Подушка</x:v>
      </x:c>
      <x:c r="E322" s="7" t="n">
        <x:v>119010.18</x:v>
      </x:c>
      <x:c r="F322" s="9" t="n">
        <x:v>7</x:v>
      </x:c>
      <x:c r="G322" s="2" t="str">
        <x:v>Московская область</x:v>
      </x:c>
      <x:c r="H322" s="7" t="n">
        <x:f>E322*F322</x:f>
        <x:v>833071.26</x:v>
      </x:c>
      <x:c r="I322" s="2" t="str">
        <x:f>TEXT(B322,"yyyy-mm")</x:f>
        <x:v>2023-04</x:v>
      </x:c>
      <x:c r="J322" s="8" t="n">
        <x:f>COUNTIFS($H$2:$H$1201,"&gt;"&amp;H322)+COUNTIFS($H$2:H322,H322)</x:f>
        <x:v>177</x:v>
      </x:c>
      <x:c r="K322" s="1"/>
      <x:c r="L322" s="1"/>
    </x:row>
    <x:row r="323" ht="22" customHeight="1">
      <x:c r="A323" s="8" t="n">
        <x:v>640</x:v>
      </x:c>
      <x:c r="B323" s="6" t="n">
        <x:v>45031</x:v>
      </x:c>
      <x:c r="C323" s="2" t="str">
        <x:v>Одежда</x:v>
      </x:c>
      <x:c r="D323" s="2" t="str">
        <x:v>Куртка</x:v>
      </x:c>
      <x:c r="E323" s="7" t="n">
        <x:v>71036.65</x:v>
      </x:c>
      <x:c r="F323" s="9" t="n">
        <x:v>5</x:v>
      </x:c>
      <x:c r="G323" s="2" t="str">
        <x:v>Новосибирск</x:v>
      </x:c>
      <x:c r="H323" s="7" t="n">
        <x:f>E323*F323</x:f>
        <x:v>355183.25</x:v>
      </x:c>
      <x:c r="I323" s="2" t="str">
        <x:f>TEXT(B323,"yyyy-mm")</x:f>
        <x:v>2023-04</x:v>
      </x:c>
      <x:c r="J323" s="8" t="n">
        <x:f>COUNTIFS($H$2:$H$1201,"&gt;"&amp;H323)+COUNTIFS($H$2:H323,H323)</x:f>
        <x:v>581</x:v>
      </x:c>
      <x:c r="K323" s="1"/>
      <x:c r="L323" s="1"/>
    </x:row>
    <x:row r="324" ht="22" customHeight="1">
      <x:c r="A324" s="8" t="n">
        <x:v>740</x:v>
      </x:c>
      <x:c r="B324" s="6" t="n">
        <x:v>45031</x:v>
      </x:c>
      <x:c r="C324" s="2" t="str">
        <x:v>Одежда</x:v>
      </x:c>
      <x:c r="D324" s="2" t="str">
        <x:v>Кроссовки</x:v>
      </x:c>
      <x:c r="E324" s="7" t="n">
        <x:v>94986.87</x:v>
      </x:c>
      <x:c r="F324" s="9" t="n">
        <x:v>3</x:v>
      </x:c>
      <x:c r="G324" s="2" t="str">
        <x:v>Московская область</x:v>
      </x:c>
      <x:c r="H324" s="7" t="n">
        <x:f>E324*F324</x:f>
        <x:v>284960.61</x:v>
      </x:c>
      <x:c r="I324" s="2" t="str">
        <x:f>TEXT(B324,"yyyy-mm")</x:f>
        <x:v>2023-04</x:v>
      </x:c>
      <x:c r="J324" s="8" t="n">
        <x:f>COUNTIFS($H$2:$H$1201,"&gt;"&amp;H324)+COUNTIFS($H$2:H324,H324)</x:f>
        <x:v>648</x:v>
      </x:c>
      <x:c r="K324" s="1"/>
      <x:c r="L324" s="1"/>
    </x:row>
    <x:row r="325" ht="22" customHeight="1">
      <x:c r="A325" s="8" t="n">
        <x:v>274</x:v>
      </x:c>
      <x:c r="B325" s="6" t="n">
        <x:v>45032</x:v>
      </x:c>
      <x:c r="C325" s="2" t="str">
        <x:v>Электроника</x:v>
      </x:c>
      <x:c r="D325" s="2" t="str">
        <x:v>Ноутбук</x:v>
      </x:c>
      <x:c r="E325" s="7" t="n">
        <x:v>63705.02</x:v>
      </x:c>
      <x:c r="F325" s="9" t="n">
        <x:v>9</x:v>
      </x:c>
      <x:c r="G325" s="2" t="str">
        <x:v>Казань</x:v>
      </x:c>
      <x:c r="H325" s="7" t="n">
        <x:f>E325*F325</x:f>
        <x:v>573345.1799999999</x:v>
      </x:c>
      <x:c r="I325" s="2" t="str">
        <x:f>TEXT(B325,"yyyy-mm")</x:f>
        <x:v>2023-04</x:v>
      </x:c>
      <x:c r="J325" s="8" t="n">
        <x:f>COUNTIFS($H$2:$H$1201,"&gt;"&amp;H325)+COUNTIFS($H$2:H325,H325)</x:f>
        <x:v>343</x:v>
      </x:c>
      <x:c r="K325" s="1"/>
      <x:c r="L325" s="1"/>
    </x:row>
    <x:row r="326" ht="22" customHeight="1">
      <x:c r="A326" s="8" t="n">
        <x:v>777</x:v>
      </x:c>
      <x:c r="B326" s="6" t="n">
        <x:v>45032</x:v>
      </x:c>
      <x:c r="C326" s="2" t="str">
        <x:v>Товары для дома</x:v>
      </x:c>
      <x:c r="D326" s="2" t="str">
        <x:v>Плед</x:v>
      </x:c>
      <x:c r="E326" s="7" t="n">
        <x:v>4671.32</x:v>
      </x:c>
      <x:c r="F326" s="9" t="n">
        <x:v>9</x:v>
      </x:c>
      <x:c r="G326" s="2" t="str">
        <x:v>Санкт‑Петербург</x:v>
      </x:c>
      <x:c r="H326" s="7" t="n">
        <x:f>E326*F326</x:f>
        <x:v>42041.88</x:v>
      </x:c>
      <x:c r="I326" s="2" t="str">
        <x:f>TEXT(B326,"yyyy-mm")</x:f>
        <x:v>2023-04</x:v>
      </x:c>
      <x:c r="J326" s="8" t="n">
        <x:f>COUNTIFS($H$2:$H$1201,"&gt;"&amp;H326)+COUNTIFS($H$2:H326,H326)</x:f>
        <x:v>1102</x:v>
      </x:c>
      <x:c r="K326" s="1"/>
      <x:c r="L326" s="1"/>
    </x:row>
    <x:row r="327" ht="22" customHeight="1">
      <x:c r="A327" s="8" t="n">
        <x:v>825</x:v>
      </x:c>
      <x:c r="B327" s="6" t="n">
        <x:v>45032</x:v>
      </x:c>
      <x:c r="C327" s="2" t="str">
        <x:v>Продукты</x:v>
      </x:c>
      <x:c r="D327" s="2" t="str">
        <x:v>Молоко</x:v>
      </x:c>
      <x:c r="E327" s="7" t="n">
        <x:v>61203.55</x:v>
      </x:c>
      <x:c r="F327" s="9" t="n">
        <x:v>1</x:v>
      </x:c>
      <x:c r="G327" s="2" t="str">
        <x:v>Екатеринбург</x:v>
      </x:c>
      <x:c r="H327" s="7" t="n">
        <x:f>E327*F327</x:f>
        <x:v>61203.55</x:v>
      </x:c>
      <x:c r="I327" s="2" t="str">
        <x:f>TEXT(B327,"yyyy-mm")</x:f>
        <x:v>2023-04</x:v>
      </x:c>
      <x:c r="J327" s="8" t="n">
        <x:f>COUNTIFS($H$2:$H$1201,"&gt;"&amp;H327)+COUNTIFS($H$2:H327,H327)</x:f>
        <x:v>1057</x:v>
      </x:c>
      <x:c r="K327" s="1"/>
      <x:c r="L327" s="1"/>
    </x:row>
    <x:row r="328" ht="22" customHeight="1">
      <x:c r="A328" s="8" t="n">
        <x:v>1101</x:v>
      </x:c>
      <x:c r="B328" s="6" t="n">
        <x:v>45032</x:v>
      </x:c>
      <x:c r="C328" s="2" t="str">
        <x:v>Товары для дома</x:v>
      </x:c>
      <x:c r="D328" s="2" t="str">
        <x:v>Кружка</x:v>
      </x:c>
      <x:c r="E328" s="7" t="n">
        <x:v>44175.12</x:v>
      </x:c>
      <x:c r="F328" s="9" t="n">
        <x:v>6</x:v>
      </x:c>
      <x:c r="G328" s="2" t="str">
        <x:v>Санкт‑Петербург</x:v>
      </x:c>
      <x:c r="H328" s="7" t="n">
        <x:f>E328*F328</x:f>
        <x:v>265050.72000000003</x:v>
      </x:c>
      <x:c r="I328" s="2" t="str">
        <x:f>TEXT(B328,"yyyy-mm")</x:f>
        <x:v>2023-04</x:v>
      </x:c>
      <x:c r="J328" s="8" t="n">
        <x:f>COUNTIFS($H$2:$H$1201,"&gt;"&amp;H328)+COUNTIFS($H$2:H328,H328)</x:f>
        <x:v>677</x:v>
      </x:c>
      <x:c r="K328" s="1"/>
      <x:c r="L328" s="1"/>
    </x:row>
    <x:row r="329" ht="22" customHeight="1">
      <x:c r="A329" s="8" t="n">
        <x:v>24</x:v>
      </x:c>
      <x:c r="B329" s="6" t="n">
        <x:v>45033</x:v>
      </x:c>
      <x:c r="C329" s="2" t="str">
        <x:v>Товары для дома</x:v>
      </x:c>
      <x:c r="D329" s="2" t="str">
        <x:v>Плед</x:v>
      </x:c>
      <x:c r="E329" s="7" t="n">
        <x:v>99003.42</x:v>
      </x:c>
      <x:c r="F329" s="9" t="n">
        <x:v>3</x:v>
      </x:c>
      <x:c r="G329" s="2" t="str">
        <x:v>Москва</x:v>
      </x:c>
      <x:c r="H329" s="7" t="n">
        <x:f>E329*F329</x:f>
        <x:v>297010.26</x:v>
      </x:c>
      <x:c r="I329" s="2" t="str">
        <x:f>TEXT(B329,"yyyy-mm")</x:f>
        <x:v>2023-04</x:v>
      </x:c>
      <x:c r="J329" s="8" t="n">
        <x:f>COUNTIFS($H$2:$H$1201,"&gt;"&amp;H329)+COUNTIFS($H$2:H329,H329)</x:f>
        <x:v>637</x:v>
      </x:c>
      <x:c r="K329" s="1"/>
      <x:c r="L329" s="1"/>
    </x:row>
    <x:row r="330" ht="22" customHeight="1">
      <x:c r="A330" s="8" t="n">
        <x:v>211</x:v>
      </x:c>
      <x:c r="B330" s="6" t="n">
        <x:v>45034</x:v>
      </x:c>
      <x:c r="C330" s="2" t="str">
        <x:v>Одежда</x:v>
      </x:c>
      <x:c r="D330" s="2" t="str">
        <x:v>Футболка</x:v>
      </x:c>
      <x:c r="E330" s="7" t="n">
        <x:v>107572.96</x:v>
      </x:c>
      <x:c r="F330" s="9" t="n">
        <x:v>3</x:v>
      </x:c>
      <x:c r="G330" s="2" t="str">
        <x:v>Новосибирск</x:v>
      </x:c>
      <x:c r="H330" s="7" t="n">
        <x:f>E330*F330</x:f>
        <x:v>322718.88</x:v>
      </x:c>
      <x:c r="I330" s="2" t="str">
        <x:f>TEXT(B330,"yyyy-mm")</x:f>
        <x:v>2023-04</x:v>
      </x:c>
      <x:c r="J330" s="8" t="n">
        <x:f>COUNTIFS($H$2:$H$1201,"&gt;"&amp;H330)+COUNTIFS($H$2:H330,H330)</x:f>
        <x:v>612</x:v>
      </x:c>
      <x:c r="K330" s="1"/>
      <x:c r="L330" s="1"/>
    </x:row>
    <x:row r="331" ht="22" customHeight="1">
      <x:c r="A331" s="8" t="n">
        <x:v>556</x:v>
      </x:c>
      <x:c r="B331" s="6" t="n">
        <x:v>45034</x:v>
      </x:c>
      <x:c r="C331" s="2" t="str">
        <x:v>Продукты</x:v>
      </x:c>
      <x:c r="D331" s="2" t="str">
        <x:v>Шоколад</x:v>
      </x:c>
      <x:c r="E331" s="7" t="n">
        <x:v>92623.07</x:v>
      </x:c>
      <x:c r="F331" s="9" t="n">
        <x:v>4</x:v>
      </x:c>
      <x:c r="G331" s="2" t="str">
        <x:v>Екатеринбург</x:v>
      </x:c>
      <x:c r="H331" s="7" t="n">
        <x:f>E331*F331</x:f>
        <x:v>370492.28</x:v>
      </x:c>
      <x:c r="I331" s="2" t="str">
        <x:f>TEXT(B331,"yyyy-mm")</x:f>
        <x:v>2023-04</x:v>
      </x:c>
      <x:c r="J331" s="8" t="n">
        <x:f>COUNTIFS($H$2:$H$1201,"&gt;"&amp;H331)+COUNTIFS($H$2:H331,H331)</x:f>
        <x:v>558</x:v>
      </x:c>
      <x:c r="K331" s="1"/>
      <x:c r="L331" s="1"/>
    </x:row>
    <x:row r="332" ht="22" customHeight="1">
      <x:c r="A332" s="8" t="n">
        <x:v>437</x:v>
      </x:c>
      <x:c r="B332" s="6" t="n">
        <x:v>45035</x:v>
      </x:c>
      <x:c r="C332" s="2" t="str">
        <x:v>Одежда</x:v>
      </x:c>
      <x:c r="D332" s="2" t="str">
        <x:v>Джинсы</x:v>
      </x:c>
      <x:c r="E332" s="7" t="n">
        <x:v>102803.17</x:v>
      </x:c>
      <x:c r="F332" s="9" t="n">
        <x:v>2</x:v>
      </x:c>
      <x:c r="G332" s="2" t="str">
        <x:v>Екатеринбург</x:v>
      </x:c>
      <x:c r="H332" s="7" t="n">
        <x:f>E332*F332</x:f>
        <x:v>205606.34</x:v>
      </x:c>
      <x:c r="I332" s="2" t="str">
        <x:f>TEXT(B332,"yyyy-mm")</x:f>
        <x:v>2023-04</x:v>
      </x:c>
      <x:c r="J332" s="8" t="n">
        <x:f>COUNTIFS($H$2:$H$1201,"&gt;"&amp;H332)+COUNTIFS($H$2:H332,H332)</x:f>
        <x:v>781</x:v>
      </x:c>
      <x:c r="K332" s="1"/>
      <x:c r="L332" s="1"/>
    </x:row>
    <x:row r="333" ht="22" customHeight="1">
      <x:c r="A333" s="8" t="n">
        <x:v>591</x:v>
      </x:c>
      <x:c r="B333" s="6" t="n">
        <x:v>45035</x:v>
      </x:c>
      <x:c r="C333" s="2" t="str">
        <x:v>Товары для дома</x:v>
      </x:c>
      <x:c r="D333" s="2" t="str">
        <x:v>Подушка</x:v>
      </x:c>
      <x:c r="E333" s="7" t="n">
        <x:v>16863.16</x:v>
      </x:c>
      <x:c r="F333" s="9" t="n">
        <x:v>2</x:v>
      </x:c>
      <x:c r="G333" s="2" t="str">
        <x:v>Санкт‑Петербург</x:v>
      </x:c>
      <x:c r="H333" s="7" t="n">
        <x:f>E333*F333</x:f>
        <x:v>33726.32</x:v>
      </x:c>
      <x:c r="I333" s="2" t="str">
        <x:f>TEXT(B333,"yyyy-mm")</x:f>
        <x:v>2023-04</x:v>
      </x:c>
      <x:c r="J333" s="8" t="n">
        <x:f>COUNTIFS($H$2:$H$1201,"&gt;"&amp;H333)+COUNTIFS($H$2:H333,H333)</x:f>
        <x:v>1118</x:v>
      </x:c>
      <x:c r="K333" s="1"/>
      <x:c r="L333" s="1"/>
    </x:row>
    <x:row r="334" ht="22" customHeight="1">
      <x:c r="A334" s="8" t="n">
        <x:v>686</x:v>
      </x:c>
      <x:c r="B334" s="6" t="n">
        <x:v>45035</x:v>
      </x:c>
      <x:c r="C334" s="2" t="str">
        <x:v>Продукты</x:v>
      </x:c>
      <x:c r="D334" s="2" t="str">
        <x:v>Кофе</x:v>
      </x:c>
      <x:c r="E334" s="7" t="n">
        <x:v>12698.49</x:v>
      </x:c>
      <x:c r="F334" s="9" t="n">
        <x:v>7</x:v>
      </x:c>
      <x:c r="G334" s="2" t="str">
        <x:v>Екатеринбург</x:v>
      </x:c>
      <x:c r="H334" s="7" t="n">
        <x:f>E334*F334</x:f>
        <x:v>88889.43</x:v>
      </x:c>
      <x:c r="I334" s="2" t="str">
        <x:f>TEXT(B334,"yyyy-mm")</x:f>
        <x:v>2023-04</x:v>
      </x:c>
      <x:c r="J334" s="8" t="n">
        <x:f>COUNTIFS($H$2:$H$1201,"&gt;"&amp;H334)+COUNTIFS($H$2:H334,H334)</x:f>
        <x:v>996</x:v>
      </x:c>
      <x:c r="K334" s="1"/>
      <x:c r="L334" s="1"/>
    </x:row>
    <x:row r="335" ht="22" customHeight="1">
      <x:c r="A335" s="8" t="n">
        <x:v>853</x:v>
      </x:c>
      <x:c r="B335" s="6" t="n">
        <x:v>45035</x:v>
      </x:c>
      <x:c r="C335" s="2" t="str">
        <x:v>Одежда</x:v>
      </x:c>
      <x:c r="D335" s="2" t="str">
        <x:v>Кроссовки</x:v>
      </x:c>
      <x:c r="E335" s="7" t="n">
        <x:v>112671.48</x:v>
      </x:c>
      <x:c r="F335" s="9" t="n">
        <x:v>2</x:v>
      </x:c>
      <x:c r="G335" s="2" t="str">
        <x:v>Санкт‑Петербург</x:v>
      </x:c>
      <x:c r="H335" s="7" t="n">
        <x:f>E335*F335</x:f>
        <x:v>225342.96</x:v>
      </x:c>
      <x:c r="I335" s="2" t="str">
        <x:f>TEXT(B335,"yyyy-mm")</x:f>
        <x:v>2023-04</x:v>
      </x:c>
      <x:c r="J335" s="8" t="n">
        <x:f>COUNTIFS($H$2:$H$1201,"&gt;"&amp;H335)+COUNTIFS($H$2:H335,H335)</x:f>
        <x:v>742</x:v>
      </x:c>
      <x:c r="K335" s="1"/>
      <x:c r="L335" s="1"/>
    </x:row>
    <x:row r="336" ht="22" customHeight="1">
      <x:c r="A336" s="8" t="n">
        <x:v>1200</x:v>
      </x:c>
      <x:c r="B336" s="6" t="n">
        <x:v>45035</x:v>
      </x:c>
      <x:c r="C336" s="2" t="str">
        <x:v>Продукты</x:v>
      </x:c>
      <x:c r="D336" s="2" t="str">
        <x:v>Молоко</x:v>
      </x:c>
      <x:c r="E336" s="7" t="n">
        <x:v>10379.79</x:v>
      </x:c>
      <x:c r="F336" s="9" t="n">
        <x:v>7</x:v>
      </x:c>
      <x:c r="G336" s="2" t="str">
        <x:v>Московская область</x:v>
      </x:c>
      <x:c r="H336" s="7" t="n">
        <x:f>E336*F336</x:f>
        <x:v>72658.53</x:v>
      </x:c>
      <x:c r="I336" s="2" t="str">
        <x:f>TEXT(B336,"yyyy-mm")</x:f>
        <x:v>2023-04</x:v>
      </x:c>
      <x:c r="J336" s="8" t="n">
        <x:f>COUNTIFS($H$2:$H$1201,"&gt;"&amp;H336)+COUNTIFS($H$2:H336,H336)</x:f>
        <x:v>1034</x:v>
      </x:c>
      <x:c r="K336" s="1"/>
      <x:c r="L336" s="1"/>
    </x:row>
    <x:row r="337" ht="22" customHeight="1">
      <x:c r="A337" s="8" t="n">
        <x:v>710</x:v>
      </x:c>
      <x:c r="B337" s="6" t="n">
        <x:v>45036</x:v>
      </x:c>
      <x:c r="C337" s="2" t="str">
        <x:v>Продукты</x:v>
      </x:c>
      <x:c r="D337" s="2" t="str">
        <x:v>Шоколад</x:v>
      </x:c>
      <x:c r="E337" s="7" t="n">
        <x:v>32598.83</x:v>
      </x:c>
      <x:c r="F337" s="9" t="n">
        <x:v>6</x:v>
      </x:c>
      <x:c r="G337" s="2" t="str">
        <x:v>Московская область</x:v>
      </x:c>
      <x:c r="H337" s="7" t="n">
        <x:f>E337*F337</x:f>
        <x:v>195592.98</x:v>
      </x:c>
      <x:c r="I337" s="2" t="str">
        <x:f>TEXT(B337,"yyyy-mm")</x:f>
        <x:v>2023-04</x:v>
      </x:c>
      <x:c r="J337" s="8" t="n">
        <x:f>COUNTIFS($H$2:$H$1201,"&gt;"&amp;H337)+COUNTIFS($H$2:H337,H337)</x:f>
        <x:v>794</x:v>
      </x:c>
      <x:c r="K337" s="1"/>
      <x:c r="L337" s="1"/>
    </x:row>
    <x:row r="338" ht="22" customHeight="1">
      <x:c r="A338" s="8" t="n">
        <x:v>830</x:v>
      </x:c>
      <x:c r="B338" s="6" t="n">
        <x:v>45036</x:v>
      </x:c>
      <x:c r="C338" s="2" t="str">
        <x:v>Товары для дома</x:v>
      </x:c>
      <x:c r="D338" s="2" t="str">
        <x:v>Полотенце</x:v>
      </x:c>
      <x:c r="E338" s="7" t="n">
        <x:v>96977.37</x:v>
      </x:c>
      <x:c r="F338" s="9" t="n">
        <x:v>3</x:v>
      </x:c>
      <x:c r="G338" s="2" t="str">
        <x:v>Екатеринбург</x:v>
      </x:c>
      <x:c r="H338" s="7" t="n">
        <x:f>E338*F338</x:f>
        <x:v>290932.11</x:v>
      </x:c>
      <x:c r="I338" s="2" t="str">
        <x:f>TEXT(B338,"yyyy-mm")</x:f>
        <x:v>2023-04</x:v>
      </x:c>
      <x:c r="J338" s="8" t="n">
        <x:f>COUNTIFS($H$2:$H$1201,"&gt;"&amp;H338)+COUNTIFS($H$2:H338,H338)</x:f>
        <x:v>642</x:v>
      </x:c>
      <x:c r="K338" s="1"/>
      <x:c r="L338" s="1"/>
    </x:row>
    <x:row r="339" ht="22" customHeight="1">
      <x:c r="A339" s="8" t="n">
        <x:v>933</x:v>
      </x:c>
      <x:c r="B339" s="6" t="n">
        <x:v>45036</x:v>
      </x:c>
      <x:c r="C339" s="2" t="str">
        <x:v>Товары для дома</x:v>
      </x:c>
      <x:c r="D339" s="2" t="str">
        <x:v>Плед</x:v>
      </x:c>
      <x:c r="E339" s="7" t="n">
        <x:v>106968.07</x:v>
      </x:c>
      <x:c r="F339" s="9" t="n">
        <x:v>10</x:v>
      </x:c>
      <x:c r="G339" s="2" t="str">
        <x:v>Новосибирск</x:v>
      </x:c>
      <x:c r="H339" s="7" t="n">
        <x:f>E339*F339</x:f>
        <x:v>1069680.7000000002</x:v>
      </x:c>
      <x:c r="I339" s="2" t="str">
        <x:f>TEXT(B339,"yyyy-mm")</x:f>
        <x:v>2023-04</x:v>
      </x:c>
      <x:c r="J339" s="8" t="n">
        <x:f>COUNTIFS($H$2:$H$1201,"&gt;"&amp;H339)+COUNTIFS($H$2:H339,H339)</x:f>
        <x:v>70</x:v>
      </x:c>
      <x:c r="K339" s="1"/>
      <x:c r="L339" s="1"/>
    </x:row>
    <x:row r="340" ht="22" customHeight="1">
      <x:c r="A340" s="8" t="n">
        <x:v>940</x:v>
      </x:c>
      <x:c r="B340" s="6" t="n">
        <x:v>45036</x:v>
      </x:c>
      <x:c r="C340" s="2" t="str">
        <x:v>Одежда</x:v>
      </x:c>
      <x:c r="D340" s="2" t="str">
        <x:v>Футболка</x:v>
      </x:c>
      <x:c r="E340" s="7" t="n">
        <x:v>136766.5</x:v>
      </x:c>
      <x:c r="F340" s="9" t="n">
        <x:v>7</x:v>
      </x:c>
      <x:c r="G340" s="2" t="str">
        <x:v>Москва</x:v>
      </x:c>
      <x:c r="H340" s="7" t="n">
        <x:f>E340*F340</x:f>
        <x:v>957365.5</x:v>
      </x:c>
      <x:c r="I340" s="2" t="str">
        <x:f>TEXT(B340,"yyyy-mm")</x:f>
        <x:v>2023-04</x:v>
      </x:c>
      <x:c r="J340" s="8" t="n">
        <x:f>COUNTIFS($H$2:$H$1201,"&gt;"&amp;H340)+COUNTIFS($H$2:H340,H340)</x:f>
        <x:v>106</x:v>
      </x:c>
      <x:c r="K340" s="1"/>
      <x:c r="L340" s="1"/>
    </x:row>
    <x:row r="341" ht="22" customHeight="1">
      <x:c r="A341" s="8" t="n">
        <x:v>1137</x:v>
      </x:c>
      <x:c r="B341" s="6" t="n">
        <x:v>45036</x:v>
      </x:c>
      <x:c r="C341" s="2" t="str">
        <x:v>Продукты</x:v>
      </x:c>
      <x:c r="D341" s="2" t="str">
        <x:v>Молоко</x:v>
      </x:c>
      <x:c r="E341" s="7" t="n">
        <x:v>964.07</x:v>
      </x:c>
      <x:c r="F341" s="9" t="n">
        <x:v>5</x:v>
      </x:c>
      <x:c r="G341" s="2" t="str">
        <x:v>Казань</x:v>
      </x:c>
      <x:c r="H341" s="7" t="n">
        <x:f>E341*F341</x:f>
        <x:v>4820.35</x:v>
      </x:c>
      <x:c r="I341" s="2" t="str">
        <x:f>TEXT(B341,"yyyy-mm")</x:f>
        <x:v>2023-04</x:v>
      </x:c>
      <x:c r="J341" s="8" t="n">
        <x:f>COUNTIFS($H$2:$H$1201,"&gt;"&amp;H341)+COUNTIFS($H$2:H341,H341)</x:f>
        <x:v>1191</x:v>
      </x:c>
      <x:c r="K341" s="1"/>
      <x:c r="L341" s="1"/>
    </x:row>
    <x:row r="342" ht="22" customHeight="1">
      <x:c r="A342" s="8" t="n">
        <x:v>573</x:v>
      </x:c>
      <x:c r="B342" s="6" t="n">
        <x:v>45037</x:v>
      </x:c>
      <x:c r="C342" s="2" t="str">
        <x:v>Продукты</x:v>
      </x:c>
      <x:c r="D342" s="2" t="str">
        <x:v>Хлеб</x:v>
      </x:c>
      <x:c r="E342" s="7" t="n">
        <x:v>111518.81</x:v>
      </x:c>
      <x:c r="F342" s="9" t="n">
        <x:v>8</x:v>
      </x:c>
      <x:c r="G342" s="2" t="str">
        <x:v>Москва</x:v>
      </x:c>
      <x:c r="H342" s="7" t="n">
        <x:f>E342*F342</x:f>
        <x:v>892150.48</x:v>
      </x:c>
      <x:c r="I342" s="2" t="str">
        <x:f>TEXT(B342,"yyyy-mm")</x:f>
        <x:v>2023-04</x:v>
      </x:c>
      <x:c r="J342" s="8" t="n">
        <x:f>COUNTIFS($H$2:$H$1201,"&gt;"&amp;H342)+COUNTIFS($H$2:H342,H342)</x:f>
        <x:v>138</x:v>
      </x:c>
      <x:c r="K342" s="1"/>
      <x:c r="L342" s="1"/>
    </x:row>
    <x:row r="343" ht="22" customHeight="1">
      <x:c r="A343" s="8" t="n">
        <x:v>237</x:v>
      </x:c>
      <x:c r="B343" s="6" t="n">
        <x:v>45038</x:v>
      </x:c>
      <x:c r="C343" s="2" t="str">
        <x:v>Товары для дома</x:v>
      </x:c>
      <x:c r="D343" s="2" t="str">
        <x:v>Подушка</x:v>
      </x:c>
      <x:c r="E343" s="7" t="n">
        <x:v>102343.83</x:v>
      </x:c>
      <x:c r="F343" s="9" t="n">
        <x:v>9</x:v>
      </x:c>
      <x:c r="G343" s="2" t="str">
        <x:v>Московская область</x:v>
      </x:c>
      <x:c r="H343" s="7" t="n">
        <x:f>E343*F343</x:f>
        <x:v>921094.47</x:v>
      </x:c>
      <x:c r="I343" s="2" t="str">
        <x:f>TEXT(B343,"yyyy-mm")</x:f>
        <x:v>2023-04</x:v>
      </x:c>
      <x:c r="J343" s="8" t="n">
        <x:f>COUNTIFS($H$2:$H$1201,"&gt;"&amp;H343)+COUNTIFS($H$2:H343,H343)</x:f>
        <x:v>123</x:v>
      </x:c>
      <x:c r="K343" s="1"/>
      <x:c r="L343" s="1"/>
    </x:row>
    <x:row r="344" ht="22" customHeight="1">
      <x:c r="A344" s="8" t="n">
        <x:v>595</x:v>
      </x:c>
      <x:c r="B344" s="6" t="n">
        <x:v>45038</x:v>
      </x:c>
      <x:c r="C344" s="2" t="str">
        <x:v>Одежда</x:v>
      </x:c>
      <x:c r="D344" s="2" t="str">
        <x:v>Джинсы</x:v>
      </x:c>
      <x:c r="E344" s="7" t="n">
        <x:v>25109.53</x:v>
      </x:c>
      <x:c r="F344" s="9" t="n">
        <x:v>6</x:v>
      </x:c>
      <x:c r="G344" s="2" t="str">
        <x:v>Казань</x:v>
      </x:c>
      <x:c r="H344" s="7" t="n">
        <x:f>E344*F344</x:f>
        <x:v>150657.18</x:v>
      </x:c>
      <x:c r="I344" s="2" t="str">
        <x:f>TEXT(B344,"yyyy-mm")</x:f>
        <x:v>2023-04</x:v>
      </x:c>
      <x:c r="J344" s="8" t="n">
        <x:f>COUNTIFS($H$2:$H$1201,"&gt;"&amp;H344)+COUNTIFS($H$2:H344,H344)</x:f>
        <x:v>851</x:v>
      </x:c>
      <x:c r="K344" s="1"/>
      <x:c r="L344" s="1"/>
    </x:row>
    <x:row r="345" ht="22" customHeight="1">
      <x:c r="A345" s="8" t="n">
        <x:v>654</x:v>
      </x:c>
      <x:c r="B345" s="6" t="n">
        <x:v>45038</x:v>
      </x:c>
      <x:c r="C345" s="2" t="str">
        <x:v>Электроника</x:v>
      </x:c>
      <x:c r="D345" s="2" t="str">
        <x:v>Ноутбук</x:v>
      </x:c>
      <x:c r="E345" s="7" t="n">
        <x:v>92669.54</x:v>
      </x:c>
      <x:c r="F345" s="9" t="n">
        <x:v>3</x:v>
      </x:c>
      <x:c r="G345" s="2" t="str">
        <x:v>Санкт‑Петербург</x:v>
      </x:c>
      <x:c r="H345" s="7" t="n">
        <x:f>E345*F345</x:f>
        <x:v>278008.62</x:v>
      </x:c>
      <x:c r="I345" s="2" t="str">
        <x:f>TEXT(B345,"yyyy-mm")</x:f>
        <x:v>2023-04</x:v>
      </x:c>
      <x:c r="J345" s="8" t="n">
        <x:f>COUNTIFS($H$2:$H$1201,"&gt;"&amp;H345)+COUNTIFS($H$2:H345,H345)</x:f>
        <x:v>659</x:v>
      </x:c>
      <x:c r="K345" s="1"/>
      <x:c r="L345" s="1"/>
    </x:row>
    <x:row r="346" ht="22" customHeight="1">
      <x:c r="A346" s="8" t="n">
        <x:v>792</x:v>
      </x:c>
      <x:c r="B346" s="6" t="n">
        <x:v>45038</x:v>
      </x:c>
      <x:c r="C346" s="2" t="str">
        <x:v>Товары для дома</x:v>
      </x:c>
      <x:c r="D346" s="2" t="str">
        <x:v>Полотенце</x:v>
      </x:c>
      <x:c r="E346" s="7" t="n">
        <x:v>43548.97</x:v>
      </x:c>
      <x:c r="F346" s="9" t="n">
        <x:v>8</x:v>
      </x:c>
      <x:c r="G346" s="2" t="str">
        <x:v>Санкт‑Петербург</x:v>
      </x:c>
      <x:c r="H346" s="7" t="n">
        <x:f>E346*F346</x:f>
        <x:v>348391.76</x:v>
      </x:c>
      <x:c r="I346" s="2" t="str">
        <x:f>TEXT(B346,"yyyy-mm")</x:f>
        <x:v>2023-04</x:v>
      </x:c>
      <x:c r="J346" s="8" t="n">
        <x:f>COUNTIFS($H$2:$H$1201,"&gt;"&amp;H346)+COUNTIFS($H$2:H346,H346)</x:f>
        <x:v>590</x:v>
      </x:c>
      <x:c r="K346" s="1"/>
      <x:c r="L346" s="1"/>
    </x:row>
    <x:row r="347" ht="22" customHeight="1">
      <x:c r="A347" s="8" t="n">
        <x:v>893</x:v>
      </x:c>
      <x:c r="B347" s="6" t="n">
        <x:v>45038</x:v>
      </x:c>
      <x:c r="C347" s="2" t="str">
        <x:v>Товары для дома</x:v>
      </x:c>
      <x:c r="D347" s="2" t="str">
        <x:v>Плед</x:v>
      </x:c>
      <x:c r="E347" s="7" t="n">
        <x:v>26975.5</x:v>
      </x:c>
      <x:c r="F347" s="9" t="n">
        <x:v>7</x:v>
      </x:c>
      <x:c r="G347" s="2" t="str">
        <x:v>Московская область</x:v>
      </x:c>
      <x:c r="H347" s="7" t="n">
        <x:f>E347*F347</x:f>
        <x:v>188828.5</x:v>
      </x:c>
      <x:c r="I347" s="2" t="str">
        <x:f>TEXT(B347,"yyyy-mm")</x:f>
        <x:v>2023-04</x:v>
      </x:c>
      <x:c r="J347" s="8" t="n">
        <x:f>COUNTIFS($H$2:$H$1201,"&gt;"&amp;H347)+COUNTIFS($H$2:H347,H347)</x:f>
        <x:v>805</x:v>
      </x:c>
      <x:c r="K347" s="1"/>
      <x:c r="L347" s="1"/>
    </x:row>
    <x:row r="348" ht="22" customHeight="1">
      <x:c r="A348" s="8" t="n">
        <x:v>464</x:v>
      </x:c>
      <x:c r="B348" s="6" t="n">
        <x:v>45039</x:v>
      </x:c>
      <x:c r="C348" s="2" t="str">
        <x:v>Товары для дома</x:v>
      </x:c>
      <x:c r="D348" s="2" t="str">
        <x:v>Плед</x:v>
      </x:c>
      <x:c r="E348" s="7" t="n">
        <x:v>5804.12</x:v>
      </x:c>
      <x:c r="F348" s="9" t="n">
        <x:v>5</x:v>
      </x:c>
      <x:c r="G348" s="2" t="str">
        <x:v>Санкт‑Петербург</x:v>
      </x:c>
      <x:c r="H348" s="7" t="n">
        <x:f>E348*F348</x:f>
        <x:v>29020.6</x:v>
      </x:c>
      <x:c r="I348" s="2" t="str">
        <x:f>TEXT(B348,"yyyy-mm")</x:f>
        <x:v>2023-04</x:v>
      </x:c>
      <x:c r="J348" s="8" t="n">
        <x:f>COUNTIFS($H$2:$H$1201,"&gt;"&amp;H348)+COUNTIFS($H$2:H348,H348)</x:f>
        <x:v>1130</x:v>
      </x:c>
      <x:c r="K348" s="1"/>
      <x:c r="L348" s="1"/>
    </x:row>
    <x:row r="349" ht="22" customHeight="1">
      <x:c r="A349" s="8" t="n">
        <x:v>467</x:v>
      </x:c>
      <x:c r="B349" s="6" t="n">
        <x:v>45039</x:v>
      </x:c>
      <x:c r="C349" s="2" t="str">
        <x:v>Товары для дома</x:v>
      </x:c>
      <x:c r="D349" s="2" t="str">
        <x:v>Подушка</x:v>
      </x:c>
      <x:c r="E349" s="7" t="n">
        <x:v>136901.99</x:v>
      </x:c>
      <x:c r="F349" s="9" t="n">
        <x:v>7</x:v>
      </x:c>
      <x:c r="G349" s="2" t="str">
        <x:v>Санкт‑Петербург</x:v>
      </x:c>
      <x:c r="H349" s="7" t="n">
        <x:f>E349*F349</x:f>
        <x:v>958313.9299999999</x:v>
      </x:c>
      <x:c r="I349" s="2" t="str">
        <x:f>TEXT(B349,"yyyy-mm")</x:f>
        <x:v>2023-04</x:v>
      </x:c>
      <x:c r="J349" s="8" t="n">
        <x:f>COUNTIFS($H$2:$H$1201,"&gt;"&amp;H349)+COUNTIFS($H$2:H349,H349)</x:f>
        <x:v>105</x:v>
      </x:c>
      <x:c r="K349" s="1"/>
      <x:c r="L349" s="1"/>
    </x:row>
    <x:row r="350" ht="22" customHeight="1">
      <x:c r="A350" s="8" t="n">
        <x:v>802</x:v>
      </x:c>
      <x:c r="B350" s="6" t="n">
        <x:v>45039</x:v>
      </x:c>
      <x:c r="C350" s="2" t="str">
        <x:v>Продукты</x:v>
      </x:c>
      <x:c r="D350" s="2" t="str">
        <x:v>Кофе</x:v>
      </x:c>
      <x:c r="E350" s="7" t="n">
        <x:v>146392.13</x:v>
      </x:c>
      <x:c r="F350" s="9" t="n">
        <x:v>3</x:v>
      </x:c>
      <x:c r="G350" s="2" t="str">
        <x:v>Екатеринбург</x:v>
      </x:c>
      <x:c r="H350" s="7" t="n">
        <x:f>E350*F350</x:f>
        <x:v>439176.39</x:v>
      </x:c>
      <x:c r="I350" s="2" t="str">
        <x:f>TEXT(B350,"yyyy-mm")</x:f>
        <x:v>2023-04</x:v>
      </x:c>
      <x:c r="J350" s="8" t="n">
        <x:f>COUNTIFS($H$2:$H$1201,"&gt;"&amp;H350)+COUNTIFS($H$2:H350,H350)</x:f>
        <x:v>468</x:v>
      </x:c>
      <x:c r="K350" s="1"/>
      <x:c r="L350" s="1"/>
    </x:row>
    <x:row r="351" ht="22" customHeight="1">
      <x:c r="A351" s="8" t="n">
        <x:v>814</x:v>
      </x:c>
      <x:c r="B351" s="6" t="n">
        <x:v>45039</x:v>
      </x:c>
      <x:c r="C351" s="2" t="str">
        <x:v>Электроника</x:v>
      </x:c>
      <x:c r="D351" s="2" t="str">
        <x:v>Смартфон</x:v>
      </x:c>
      <x:c r="E351" s="7" t="n">
        <x:v>33932.13</x:v>
      </x:c>
      <x:c r="F351" s="9" t="n">
        <x:v>4</x:v>
      </x:c>
      <x:c r="G351" s="2" t="str">
        <x:v>Казань</x:v>
      </x:c>
      <x:c r="H351" s="7" t="n">
        <x:f>E351*F351</x:f>
        <x:v>135728.52</x:v>
      </x:c>
      <x:c r="I351" s="2" t="str">
        <x:f>TEXT(B351,"yyyy-mm")</x:f>
        <x:v>2023-04</x:v>
      </x:c>
      <x:c r="J351" s="8" t="n">
        <x:f>COUNTIFS($H$2:$H$1201,"&gt;"&amp;H351)+COUNTIFS($H$2:H351,H351)</x:f>
        <x:v>891</x:v>
      </x:c>
      <x:c r="K351" s="1"/>
      <x:c r="L351" s="1"/>
    </x:row>
    <x:row r="352" ht="22" customHeight="1">
      <x:c r="A352" s="8" t="n">
        <x:v>993</x:v>
      </x:c>
      <x:c r="B352" s="6" t="n">
        <x:v>45039</x:v>
      </x:c>
      <x:c r="C352" s="2" t="str">
        <x:v>Продукты</x:v>
      </x:c>
      <x:c r="D352" s="2" t="str">
        <x:v>Кофе</x:v>
      </x:c>
      <x:c r="E352" s="7" t="n">
        <x:v>112444.04</x:v>
      </x:c>
      <x:c r="F352" s="9" t="n">
        <x:v>10</x:v>
      </x:c>
      <x:c r="G352" s="2" t="str">
        <x:v>Москва</x:v>
      </x:c>
      <x:c r="H352" s="7" t="n">
        <x:f>E352*F352</x:f>
        <x:v>1124440.4</x:v>
      </x:c>
      <x:c r="I352" s="2" t="str">
        <x:f>TEXT(B352,"yyyy-mm")</x:f>
        <x:v>2023-04</x:v>
      </x:c>
      <x:c r="J352" s="8" t="n">
        <x:f>COUNTIFS($H$2:$H$1201,"&gt;"&amp;H352)+COUNTIFS($H$2:H352,H352)</x:f>
        <x:v>58</x:v>
      </x:c>
      <x:c r="K352" s="1"/>
      <x:c r="L352" s="1"/>
    </x:row>
    <x:row r="353" ht="22" customHeight="1">
      <x:c r="A353" s="8" t="n">
        <x:v>86</x:v>
      </x:c>
      <x:c r="B353" s="6" t="n">
        <x:v>45040</x:v>
      </x:c>
      <x:c r="C353" s="2" t="str">
        <x:v>Товары для дома</x:v>
      </x:c>
      <x:c r="D353" s="2" t="str">
        <x:v>Кружка</x:v>
      </x:c>
      <x:c r="E353" s="7" t="n">
        <x:v>110323.69</x:v>
      </x:c>
      <x:c r="F353" s="9" t="n">
        <x:v>2</x:v>
      </x:c>
      <x:c r="G353" s="2" t="str">
        <x:v>Казань</x:v>
      </x:c>
      <x:c r="H353" s="7" t="n">
        <x:f>E353*F353</x:f>
        <x:v>220647.38</x:v>
      </x:c>
      <x:c r="I353" s="2" t="str">
        <x:f>TEXT(B353,"yyyy-mm")</x:f>
        <x:v>2023-04</x:v>
      </x:c>
      <x:c r="J353" s="8" t="n">
        <x:f>COUNTIFS($H$2:$H$1201,"&gt;"&amp;H353)+COUNTIFS($H$2:H353,H353)</x:f>
        <x:v>754</x:v>
      </x:c>
      <x:c r="K353" s="1"/>
      <x:c r="L353" s="1"/>
    </x:row>
    <x:row r="354" ht="22" customHeight="1">
      <x:c r="A354" s="8" t="n">
        <x:v>140</x:v>
      </x:c>
      <x:c r="B354" s="6" t="n">
        <x:v>45040</x:v>
      </x:c>
      <x:c r="C354" s="2" t="str">
        <x:v>Одежда</x:v>
      </x:c>
      <x:c r="D354" s="2" t="str">
        <x:v>Футболка</x:v>
      </x:c>
      <x:c r="E354" s="7" t="n">
        <x:v>23165.36</x:v>
      </x:c>
      <x:c r="F354" s="9" t="n">
        <x:v>6</x:v>
      </x:c>
      <x:c r="G354" s="2" t="str">
        <x:v>Санкт‑Петербург</x:v>
      </x:c>
      <x:c r="H354" s="7" t="n">
        <x:f>E354*F354</x:f>
        <x:v>138992.16</x:v>
      </x:c>
      <x:c r="I354" s="2" t="str">
        <x:f>TEXT(B354,"yyyy-mm")</x:f>
        <x:v>2023-04</x:v>
      </x:c>
      <x:c r="J354" s="8" t="n">
        <x:f>COUNTIFS($H$2:$H$1201,"&gt;"&amp;H354)+COUNTIFS($H$2:H354,H354)</x:f>
        <x:v>880</x:v>
      </x:c>
      <x:c r="K354" s="1"/>
      <x:c r="L354" s="1"/>
    </x:row>
    <x:row r="355" ht="22" customHeight="1">
      <x:c r="A355" s="8" t="n">
        <x:v>250</x:v>
      </x:c>
      <x:c r="B355" s="6" t="n">
        <x:v>45040</x:v>
      </x:c>
      <x:c r="C355" s="2" t="str">
        <x:v>Электроника</x:v>
      </x:c>
      <x:c r="D355" s="2" t="str">
        <x:v>Ноутбук</x:v>
      </x:c>
      <x:c r="E355" s="7" t="n">
        <x:v>131405.55</x:v>
      </x:c>
      <x:c r="F355" s="9" t="n">
        <x:v>4</x:v>
      </x:c>
      <x:c r="G355" s="2" t="str">
        <x:v>Екатеринбург</x:v>
      </x:c>
      <x:c r="H355" s="7" t="n">
        <x:f>E355*F355</x:f>
        <x:v>525622.2</x:v>
      </x:c>
      <x:c r="I355" s="2" t="str">
        <x:f>TEXT(B355,"yyyy-mm")</x:f>
        <x:v>2023-04</x:v>
      </x:c>
      <x:c r="J355" s="8" t="n">
        <x:f>COUNTIFS($H$2:$H$1201,"&gt;"&amp;H355)+COUNTIFS($H$2:H355,H355)</x:f>
        <x:v>390</x:v>
      </x:c>
      <x:c r="K355" s="1"/>
      <x:c r="L355" s="1"/>
    </x:row>
    <x:row r="356" ht="22" customHeight="1">
      <x:c r="A356" s="8" t="n">
        <x:v>295</x:v>
      </x:c>
      <x:c r="B356" s="6" t="n">
        <x:v>45040</x:v>
      </x:c>
      <x:c r="C356" s="2" t="str">
        <x:v>Электроника</x:v>
      </x:c>
      <x:c r="D356" s="2" t="str">
        <x:v>Смартфон</x:v>
      </x:c>
      <x:c r="E356" s="7" t="n">
        <x:v>54742.46</x:v>
      </x:c>
      <x:c r="F356" s="9" t="n">
        <x:v>6</x:v>
      </x:c>
      <x:c r="G356" s="2" t="str">
        <x:v>Казань</x:v>
      </x:c>
      <x:c r="H356" s="7" t="n">
        <x:f>E356*F356</x:f>
        <x:v>328454.76</x:v>
      </x:c>
      <x:c r="I356" s="2" t="str">
        <x:f>TEXT(B356,"yyyy-mm")</x:f>
        <x:v>2023-04</x:v>
      </x:c>
      <x:c r="J356" s="8" t="n">
        <x:f>COUNTIFS($H$2:$H$1201,"&gt;"&amp;H356)+COUNTIFS($H$2:H356,H356)</x:f>
        <x:v>603</x:v>
      </x:c>
      <x:c r="K356" s="1"/>
      <x:c r="L356" s="1"/>
    </x:row>
    <x:row r="357" ht="22" customHeight="1">
      <x:c r="A357" s="8" t="n">
        <x:v>919</x:v>
      </x:c>
      <x:c r="B357" s="6" t="n">
        <x:v>45040</x:v>
      </x:c>
      <x:c r="C357" s="2" t="str">
        <x:v>Товары для дома</x:v>
      </x:c>
      <x:c r="D357" s="2" t="str">
        <x:v>Полотенце</x:v>
      </x:c>
      <x:c r="E357" s="7" t="n">
        <x:v>16927.41</x:v>
      </x:c>
      <x:c r="F357" s="9" t="n">
        <x:v>7</x:v>
      </x:c>
      <x:c r="G357" s="2" t="str">
        <x:v>Казань</x:v>
      </x:c>
      <x:c r="H357" s="7" t="n">
        <x:f>E357*F357</x:f>
        <x:v>118491.87</x:v>
      </x:c>
      <x:c r="I357" s="2" t="str">
        <x:f>TEXT(B357,"yyyy-mm")</x:f>
        <x:v>2023-04</x:v>
      </x:c>
      <x:c r="J357" s="8" t="n">
        <x:f>COUNTIFS($H$2:$H$1201,"&gt;"&amp;H357)+COUNTIFS($H$2:H357,H357)</x:f>
        <x:v>931</x:v>
      </x:c>
      <x:c r="K357" s="1"/>
      <x:c r="L357" s="1"/>
    </x:row>
    <x:row r="358" ht="22" customHeight="1">
      <x:c r="A358" s="8" t="n">
        <x:v>1032</x:v>
      </x:c>
      <x:c r="B358" s="6" t="n">
        <x:v>45040</x:v>
      </x:c>
      <x:c r="C358" s="2" t="str">
        <x:v>Одежда</x:v>
      </x:c>
      <x:c r="D358" s="2" t="str">
        <x:v>Футболка</x:v>
      </x:c>
      <x:c r="E358" s="7" t="n">
        <x:v>79117.42</x:v>
      </x:c>
      <x:c r="F358" s="9" t="n">
        <x:v>10</x:v>
      </x:c>
      <x:c r="G358" s="2" t="str">
        <x:v>Казань</x:v>
      </x:c>
      <x:c r="H358" s="7" t="n">
        <x:f>E358*F358</x:f>
        <x:v>791174.2</x:v>
      </x:c>
      <x:c r="I358" s="2" t="str">
        <x:f>TEXT(B358,"yyyy-mm")</x:f>
        <x:v>2023-04</x:v>
      </x:c>
      <x:c r="J358" s="8" t="n">
        <x:f>COUNTIFS($H$2:$H$1201,"&gt;"&amp;H358)+COUNTIFS($H$2:H358,H358)</x:f>
        <x:v>201</x:v>
      </x:c>
      <x:c r="K358" s="1"/>
      <x:c r="L358" s="1"/>
    </x:row>
    <x:row r="359" ht="22" customHeight="1">
      <x:c r="A359" s="8" t="n">
        <x:v>1196</x:v>
      </x:c>
      <x:c r="B359" s="6" t="n">
        <x:v>45041</x:v>
      </x:c>
      <x:c r="C359" s="2" t="str">
        <x:v>Электроника</x:v>
      </x:c>
      <x:c r="D359" s="2" t="str">
        <x:v>Смартфон</x:v>
      </x:c>
      <x:c r="E359" s="7" t="n">
        <x:v>103272.35</x:v>
      </x:c>
      <x:c r="F359" s="9" t="n">
        <x:v>9</x:v>
      </x:c>
      <x:c r="G359" s="2" t="str">
        <x:v>Екатеринбург</x:v>
      </x:c>
      <x:c r="H359" s="7" t="n">
        <x:f>E359*F359</x:f>
        <x:v>929451.15</x:v>
      </x:c>
      <x:c r="I359" s="2" t="str">
        <x:f>TEXT(B359,"yyyy-mm")</x:f>
        <x:v>2023-04</x:v>
      </x:c>
      <x:c r="J359" s="8" t="n">
        <x:f>COUNTIFS($H$2:$H$1201,"&gt;"&amp;H359)+COUNTIFS($H$2:H359,H359)</x:f>
        <x:v>118</x:v>
      </x:c>
      <x:c r="K359" s="1"/>
      <x:c r="L359" s="1"/>
    </x:row>
    <x:row r="360" ht="22" customHeight="1">
      <x:c r="A360" s="8" t="n">
        <x:v>197</x:v>
      </x:c>
      <x:c r="B360" s="6" t="n">
        <x:v>45042</x:v>
      </x:c>
      <x:c r="C360" s="2" t="str">
        <x:v>Одежда</x:v>
      </x:c>
      <x:c r="D360" s="2" t="str">
        <x:v>Футболка</x:v>
      </x:c>
      <x:c r="E360" s="7" t="n">
        <x:v>133326.4</x:v>
      </x:c>
      <x:c r="F360" s="9" t="n">
        <x:v>8</x:v>
      </x:c>
      <x:c r="G360" s="2" t="str">
        <x:v>Казань</x:v>
      </x:c>
      <x:c r="H360" s="7" t="n">
        <x:f>E360*F360</x:f>
        <x:v>1066611.2</x:v>
      </x:c>
      <x:c r="I360" s="2" t="str">
        <x:f>TEXT(B360,"yyyy-mm")</x:f>
        <x:v>2023-04</x:v>
      </x:c>
      <x:c r="J360" s="8" t="n">
        <x:f>COUNTIFS($H$2:$H$1201,"&gt;"&amp;H360)+COUNTIFS($H$2:H360,H360)</x:f>
        <x:v>71</x:v>
      </x:c>
      <x:c r="K360" s="1"/>
      <x:c r="L360" s="1"/>
    </x:row>
    <x:row r="361" ht="22" customHeight="1">
      <x:c r="A361" s="8" t="n">
        <x:v>775</x:v>
      </x:c>
      <x:c r="B361" s="6" t="n">
        <x:v>45042</x:v>
      </x:c>
      <x:c r="C361" s="2" t="str">
        <x:v>Электроника</x:v>
      </x:c>
      <x:c r="D361" s="2" t="str">
        <x:v>Планшет</x:v>
      </x:c>
      <x:c r="E361" s="7" t="n">
        <x:v>41325.22</x:v>
      </x:c>
      <x:c r="F361" s="9" t="n">
        <x:v>9</x:v>
      </x:c>
      <x:c r="G361" s="2" t="str">
        <x:v>Санкт‑Петербург</x:v>
      </x:c>
      <x:c r="H361" s="7" t="n">
        <x:f>E361*F361</x:f>
        <x:v>371926.98</x:v>
      </x:c>
      <x:c r="I361" s="2" t="str">
        <x:f>TEXT(B361,"yyyy-mm")</x:f>
        <x:v>2023-04</x:v>
      </x:c>
      <x:c r="J361" s="8" t="n">
        <x:f>COUNTIFS($H$2:$H$1201,"&gt;"&amp;H361)+COUNTIFS($H$2:H361,H361)</x:f>
        <x:v>557</x:v>
      </x:c>
      <x:c r="K361" s="1"/>
      <x:c r="L361" s="1"/>
    </x:row>
    <x:row r="362" ht="22" customHeight="1">
      <x:c r="A362" s="8" t="n">
        <x:v>118</x:v>
      </x:c>
      <x:c r="B362" s="6" t="n">
        <x:v>45043</x:v>
      </x:c>
      <x:c r="C362" s="2" t="str">
        <x:v>Товары для дома</x:v>
      </x:c>
      <x:c r="D362" s="2" t="str">
        <x:v>Подушка</x:v>
      </x:c>
      <x:c r="E362" s="7" t="n">
        <x:v>104747.39</x:v>
      </x:c>
      <x:c r="F362" s="9" t="n">
        <x:v>9</x:v>
      </x:c>
      <x:c r="G362" s="2" t="str">
        <x:v>Казань</x:v>
      </x:c>
      <x:c r="H362" s="7" t="n">
        <x:f>E362*F362</x:f>
        <x:v>942726.51</x:v>
      </x:c>
      <x:c r="I362" s="2" t="str">
        <x:f>TEXT(B362,"yyyy-mm")</x:f>
        <x:v>2023-04</x:v>
      </x:c>
      <x:c r="J362" s="8" t="n">
        <x:f>COUNTIFS($H$2:$H$1201,"&gt;"&amp;H362)+COUNTIFS($H$2:H362,H362)</x:f>
        <x:v>114</x:v>
      </x:c>
      <x:c r="K362" s="1"/>
      <x:c r="L362" s="1"/>
    </x:row>
    <x:row r="363" ht="22" customHeight="1">
      <x:c r="A363" s="8" t="n">
        <x:v>268</x:v>
      </x:c>
      <x:c r="B363" s="6" t="n">
        <x:v>45043</x:v>
      </x:c>
      <x:c r="C363" s="2" t="str">
        <x:v>Одежда</x:v>
      </x:c>
      <x:c r="D363" s="2" t="str">
        <x:v>Куртка</x:v>
      </x:c>
      <x:c r="E363" s="7" t="n">
        <x:v>94729.25</x:v>
      </x:c>
      <x:c r="F363" s="9" t="n">
        <x:v>3</x:v>
      </x:c>
      <x:c r="G363" s="2" t="str">
        <x:v>Казань</x:v>
      </x:c>
      <x:c r="H363" s="7" t="n">
        <x:f>E363*F363</x:f>
        <x:v>284187.75</x:v>
      </x:c>
      <x:c r="I363" s="2" t="str">
        <x:f>TEXT(B363,"yyyy-mm")</x:f>
        <x:v>2023-04</x:v>
      </x:c>
      <x:c r="J363" s="8" t="n">
        <x:f>COUNTIFS($H$2:$H$1201,"&gt;"&amp;H363)+COUNTIFS($H$2:H363,H363)</x:f>
        <x:v>651</x:v>
      </x:c>
      <x:c r="K363" s="1"/>
      <x:c r="L363" s="1"/>
    </x:row>
    <x:row r="364" ht="22" customHeight="1">
      <x:c r="A364" s="8" t="n">
        <x:v>622</x:v>
      </x:c>
      <x:c r="B364" s="6" t="n">
        <x:v>45043</x:v>
      </x:c>
      <x:c r="C364" s="2" t="str">
        <x:v>Одежда</x:v>
      </x:c>
      <x:c r="D364" s="2" t="str">
        <x:v>Кроссовки</x:v>
      </x:c>
      <x:c r="E364" s="7" t="n">
        <x:v>18956.52</x:v>
      </x:c>
      <x:c r="F364" s="9" t="n">
        <x:v>5</x:v>
      </x:c>
      <x:c r="G364" s="2" t="str">
        <x:v>Новосибирск</x:v>
      </x:c>
      <x:c r="H364" s="7" t="n">
        <x:f>E364*F364</x:f>
        <x:v>94782.6</x:v>
      </x:c>
      <x:c r="I364" s="2" t="str">
        <x:f>TEXT(B364,"yyyy-mm")</x:f>
        <x:v>2023-04</x:v>
      </x:c>
      <x:c r="J364" s="8" t="n">
        <x:f>COUNTIFS($H$2:$H$1201,"&gt;"&amp;H364)+COUNTIFS($H$2:H364,H364)</x:f>
        <x:v>980</x:v>
      </x:c>
      <x:c r="K364" s="1"/>
      <x:c r="L364" s="1"/>
    </x:row>
    <x:row r="365" ht="22" customHeight="1">
      <x:c r="A365" s="8" t="n">
        <x:v>864</x:v>
      </x:c>
      <x:c r="B365" s="6" t="n">
        <x:v>45043</x:v>
      </x:c>
      <x:c r="C365" s="2" t="str">
        <x:v>Одежда</x:v>
      </x:c>
      <x:c r="D365" s="2" t="str">
        <x:v>Джинсы</x:v>
      </x:c>
      <x:c r="E365" s="7" t="n">
        <x:v>137779.99</x:v>
      </x:c>
      <x:c r="F365" s="9" t="n">
        <x:v>8</x:v>
      </x:c>
      <x:c r="G365" s="2" t="str">
        <x:v>Санкт‑Петербург</x:v>
      </x:c>
      <x:c r="H365" s="7" t="n">
        <x:f>E365*F365</x:f>
        <x:v>1102239.92</x:v>
      </x:c>
      <x:c r="I365" s="2" t="str">
        <x:f>TEXT(B365,"yyyy-mm")</x:f>
        <x:v>2023-04</x:v>
      </x:c>
      <x:c r="J365" s="8" t="n">
        <x:f>COUNTIFS($H$2:$H$1201,"&gt;"&amp;H365)+COUNTIFS($H$2:H365,H365)</x:f>
        <x:v>64</x:v>
      </x:c>
      <x:c r="K365" s="1"/>
      <x:c r="L365" s="1"/>
    </x:row>
    <x:row r="366" ht="22" customHeight="1">
      <x:c r="A366" s="8" t="n">
        <x:v>915</x:v>
      </x:c>
      <x:c r="B366" s="6" t="n">
        <x:v>45043</x:v>
      </x:c>
      <x:c r="C366" s="2" t="str">
        <x:v>Одежда</x:v>
      </x:c>
      <x:c r="D366" s="2" t="str">
        <x:v>Кроссовки</x:v>
      </x:c>
      <x:c r="E366" s="7" t="n">
        <x:v>145839.23</x:v>
      </x:c>
      <x:c r="F366" s="9" t="n">
        <x:v>10</x:v>
      </x:c>
      <x:c r="G366" s="2" t="str">
        <x:v>Санкт‑Петербург</x:v>
      </x:c>
      <x:c r="H366" s="7" t="n">
        <x:f>E366*F366</x:f>
        <x:v>1458392.3</x:v>
      </x:c>
      <x:c r="I366" s="2" t="str">
        <x:f>TEXT(B366,"yyyy-mm")</x:f>
        <x:v>2023-04</x:v>
      </x:c>
      <x:c r="J366" s="8" t="n">
        <x:f>COUNTIFS($H$2:$H$1201,"&gt;"&amp;H366)+COUNTIFS($H$2:H366,H366)</x:f>
        <x:v>2</x:v>
      </x:c>
      <x:c r="K366" s="1"/>
      <x:c r="L366" s="1"/>
    </x:row>
    <x:row r="367" ht="22" customHeight="1">
      <x:c r="A367" s="8" t="n">
        <x:v>1084</x:v>
      </x:c>
      <x:c r="B367" s="6" t="n">
        <x:v>45043</x:v>
      </x:c>
      <x:c r="C367" s="2" t="str">
        <x:v>Продукты</x:v>
      </x:c>
      <x:c r="D367" s="2" t="str">
        <x:v>Кофе</x:v>
      </x:c>
      <x:c r="E367" s="7" t="n">
        <x:v>145457.29</x:v>
      </x:c>
      <x:c r="F367" s="9" t="n">
        <x:v>4</x:v>
      </x:c>
      <x:c r="G367" s="2" t="str">
        <x:v>Москва</x:v>
      </x:c>
      <x:c r="H367" s="7" t="n">
        <x:f>E367*F367</x:f>
        <x:v>581829.16</x:v>
      </x:c>
      <x:c r="I367" s="2" t="str">
        <x:f>TEXT(B367,"yyyy-mm")</x:f>
        <x:v>2023-04</x:v>
      </x:c>
      <x:c r="J367" s="8" t="n">
        <x:f>COUNTIFS($H$2:$H$1201,"&gt;"&amp;H367)+COUNTIFS($H$2:H367,H367)</x:f>
        <x:v>333</x:v>
      </x:c>
      <x:c r="K367" s="1"/>
      <x:c r="L367" s="1"/>
    </x:row>
    <x:row r="368" ht="22" customHeight="1">
      <x:c r="A368" s="8" t="n">
        <x:v>485</x:v>
      </x:c>
      <x:c r="B368" s="6" t="n">
        <x:v>45044</x:v>
      </x:c>
      <x:c r="C368" s="2" t="str">
        <x:v>Продукты</x:v>
      </x:c>
      <x:c r="D368" s="2" t="str">
        <x:v>Кофе</x:v>
      </x:c>
      <x:c r="E368" s="7" t="n">
        <x:v>147634.4</x:v>
      </x:c>
      <x:c r="F368" s="9" t="n">
        <x:v>1</x:v>
      </x:c>
      <x:c r="G368" s="2" t="str">
        <x:v>Казань</x:v>
      </x:c>
      <x:c r="H368" s="7" t="n">
        <x:f>E368*F368</x:f>
        <x:v>147634.4</x:v>
      </x:c>
      <x:c r="I368" s="2" t="str">
        <x:f>TEXT(B368,"yyyy-mm")</x:f>
        <x:v>2023-04</x:v>
      </x:c>
      <x:c r="J368" s="8" t="n">
        <x:f>COUNTIFS($H$2:$H$1201,"&gt;"&amp;H368)+COUNTIFS($H$2:H368,H368)</x:f>
        <x:v>857</x:v>
      </x:c>
      <x:c r="K368" s="1"/>
      <x:c r="L368" s="1"/>
    </x:row>
    <x:row r="369" ht="22" customHeight="1">
      <x:c r="A369" s="8" t="n">
        <x:v>230</x:v>
      </x:c>
      <x:c r="B369" s="6" t="n">
        <x:v>45045</x:v>
      </x:c>
      <x:c r="C369" s="2" t="str">
        <x:v>Товары для дома</x:v>
      </x:c>
      <x:c r="D369" s="2" t="str">
        <x:v>Кружка</x:v>
      </x:c>
      <x:c r="E369" s="7" t="n">
        <x:v>92383.34</x:v>
      </x:c>
      <x:c r="F369" s="9" t="n">
        <x:v>10</x:v>
      </x:c>
      <x:c r="G369" s="2" t="str">
        <x:v>Москва</x:v>
      </x:c>
      <x:c r="H369" s="7" t="n">
        <x:f>E369*F369</x:f>
        <x:v>923833.3999999999</x:v>
      </x:c>
      <x:c r="I369" s="2" t="str">
        <x:f>TEXT(B369,"yyyy-mm")</x:f>
        <x:v>2023-04</x:v>
      </x:c>
      <x:c r="J369" s="8" t="n">
        <x:f>COUNTIFS($H$2:$H$1201,"&gt;"&amp;H369)+COUNTIFS($H$2:H369,H369)</x:f>
        <x:v>119</x:v>
      </x:c>
      <x:c r="K369" s="1"/>
      <x:c r="L369" s="1"/>
    </x:row>
    <x:row r="370" ht="22" customHeight="1">
      <x:c r="A370" s="8" t="n">
        <x:v>365</x:v>
      </x:c>
      <x:c r="B370" s="6" t="n">
        <x:v>45045</x:v>
      </x:c>
      <x:c r="C370" s="2" t="str">
        <x:v>Товары для дома</x:v>
      </x:c>
      <x:c r="D370" s="2" t="str">
        <x:v>Подушка</x:v>
      </x:c>
      <x:c r="E370" s="7" t="n">
        <x:v>117771.4</x:v>
      </x:c>
      <x:c r="F370" s="9" t="n">
        <x:v>7</x:v>
      </x:c>
      <x:c r="G370" s="2" t="str">
        <x:v>Новосибирск</x:v>
      </x:c>
      <x:c r="H370" s="7" t="n">
        <x:f>E370*F370</x:f>
        <x:v>824399.7999999999</x:v>
      </x:c>
      <x:c r="I370" s="2" t="str">
        <x:f>TEXT(B370,"yyyy-mm")</x:f>
        <x:v>2023-04</x:v>
      </x:c>
      <x:c r="J370" s="8" t="n">
        <x:f>COUNTIFS($H$2:$H$1201,"&gt;"&amp;H370)+COUNTIFS($H$2:H370,H370)</x:f>
        <x:v>180</x:v>
      </x:c>
      <x:c r="K370" s="1"/>
      <x:c r="L370" s="1"/>
    </x:row>
    <x:row r="371" ht="22" customHeight="1">
      <x:c r="A371" s="8" t="n">
        <x:v>1128</x:v>
      </x:c>
      <x:c r="B371" s="6" t="n">
        <x:v>45045</x:v>
      </x:c>
      <x:c r="C371" s="2" t="str">
        <x:v>Электроника</x:v>
      </x:c>
      <x:c r="D371" s="2" t="str">
        <x:v>Ноутбук</x:v>
      </x:c>
      <x:c r="E371" s="7" t="n">
        <x:v>66653.82</x:v>
      </x:c>
      <x:c r="F371" s="9" t="n">
        <x:v>6</x:v>
      </x:c>
      <x:c r="G371" s="2" t="str">
        <x:v>Санкт‑Петербург</x:v>
      </x:c>
      <x:c r="H371" s="7" t="n">
        <x:f>E371*F371</x:f>
        <x:v>399922.92000000004</x:v>
      </x:c>
      <x:c r="I371" s="2" t="str">
        <x:f>TEXT(B371,"yyyy-mm")</x:f>
        <x:v>2023-04</x:v>
      </x:c>
      <x:c r="J371" s="8" t="n">
        <x:f>COUNTIFS($H$2:$H$1201,"&gt;"&amp;H371)+COUNTIFS($H$2:H371,H371)</x:f>
        <x:v>516</x:v>
      </x:c>
      <x:c r="K371" s="1"/>
      <x:c r="L371" s="1"/>
    </x:row>
    <x:row r="372" ht="22" customHeight="1">
      <x:c r="A372" s="8" t="n">
        <x:v>68</x:v>
      </x:c>
      <x:c r="B372" s="6" t="n">
        <x:v>45046</x:v>
      </x:c>
      <x:c r="C372" s="2" t="str">
        <x:v>Одежда</x:v>
      </x:c>
      <x:c r="D372" s="2" t="str">
        <x:v>Футболка</x:v>
      </x:c>
      <x:c r="E372" s="7" t="n">
        <x:v>98337.45</x:v>
      </x:c>
      <x:c r="F372" s="9" t="n">
        <x:v>4</x:v>
      </x:c>
      <x:c r="G372" s="2" t="str">
        <x:v>Казань</x:v>
      </x:c>
      <x:c r="H372" s="7" t="n">
        <x:f>E372*F372</x:f>
        <x:v>393349.8</x:v>
      </x:c>
      <x:c r="I372" s="2" t="str">
        <x:f>TEXT(B372,"yyyy-mm")</x:f>
        <x:v>2023-04</x:v>
      </x:c>
      <x:c r="J372" s="8" t="n">
        <x:f>COUNTIFS($H$2:$H$1201,"&gt;"&amp;H372)+COUNTIFS($H$2:H372,H372)</x:f>
        <x:v>531</x:v>
      </x:c>
      <x:c r="K372" s="1"/>
      <x:c r="L372" s="1"/>
    </x:row>
    <x:row r="373" ht="22" customHeight="1">
      <x:c r="A373" s="8" t="n">
        <x:v>113</x:v>
      </x:c>
      <x:c r="B373" s="6" t="n">
        <x:v>45046</x:v>
      </x:c>
      <x:c r="C373" s="2" t="str">
        <x:v>Электроника</x:v>
      </x:c>
      <x:c r="D373" s="2" t="str">
        <x:v>Планшет</x:v>
      </x:c>
      <x:c r="E373" s="7" t="n">
        <x:v>25557.25</x:v>
      </x:c>
      <x:c r="F373" s="9" t="n">
        <x:v>2</x:v>
      </x:c>
      <x:c r="G373" s="2" t="str">
        <x:v>Екатеринбург</x:v>
      </x:c>
      <x:c r="H373" s="7" t="n">
        <x:f>E373*F373</x:f>
        <x:v>51114.5</x:v>
      </x:c>
      <x:c r="I373" s="2" t="str">
        <x:f>TEXT(B373,"yyyy-mm")</x:f>
        <x:v>2023-04</x:v>
      </x:c>
      <x:c r="J373" s="8" t="n">
        <x:f>COUNTIFS($H$2:$H$1201,"&gt;"&amp;H373)+COUNTIFS($H$2:H373,H373)</x:f>
        <x:v>1083</x:v>
      </x:c>
      <x:c r="K373" s="1"/>
      <x:c r="L373" s="1"/>
    </x:row>
    <x:row r="374" ht="22" customHeight="1">
      <x:c r="A374" s="8" t="n">
        <x:v>436</x:v>
      </x:c>
      <x:c r="B374" s="6" t="n">
        <x:v>45046</x:v>
      </x:c>
      <x:c r="C374" s="2" t="str">
        <x:v>Одежда</x:v>
      </x:c>
      <x:c r="D374" s="2" t="str">
        <x:v>Куртка</x:v>
      </x:c>
      <x:c r="E374" s="7" t="n">
        <x:v>14717.73</x:v>
      </x:c>
      <x:c r="F374" s="9" t="n">
        <x:v>1</x:v>
      </x:c>
      <x:c r="G374" s="2" t="str">
        <x:v>Санкт‑Петербург</x:v>
      </x:c>
      <x:c r="H374" s="7" t="n">
        <x:f>E374*F374</x:f>
        <x:v>14717.73</x:v>
      </x:c>
      <x:c r="I374" s="2" t="str">
        <x:f>TEXT(B374,"yyyy-mm")</x:f>
        <x:v>2023-04</x:v>
      </x:c>
      <x:c r="J374" s="8" t="n">
        <x:f>COUNTIFS($H$2:$H$1201,"&gt;"&amp;H374)+COUNTIFS($H$2:H374,H374)</x:f>
        <x:v>1169</x:v>
      </x:c>
      <x:c r="K374" s="1"/>
      <x:c r="L374" s="1"/>
    </x:row>
    <x:row r="375" ht="22" customHeight="1">
      <x:c r="A375" s="8" t="n">
        <x:v>931</x:v>
      </x:c>
      <x:c r="B375" s="6" t="n">
        <x:v>45046</x:v>
      </x:c>
      <x:c r="C375" s="2" t="str">
        <x:v>Одежда</x:v>
      </x:c>
      <x:c r="D375" s="2" t="str">
        <x:v>Футболка</x:v>
      </x:c>
      <x:c r="E375" s="7" t="n">
        <x:v>59047.12</x:v>
      </x:c>
      <x:c r="F375" s="9" t="n">
        <x:v>7</x:v>
      </x:c>
      <x:c r="G375" s="2" t="str">
        <x:v>Москва</x:v>
      </x:c>
      <x:c r="H375" s="7" t="n">
        <x:f>E375*F375</x:f>
        <x:v>413329.84</x:v>
      </x:c>
      <x:c r="I375" s="2" t="str">
        <x:f>TEXT(B375,"yyyy-mm")</x:f>
        <x:v>2023-04</x:v>
      </x:c>
      <x:c r="J375" s="8" t="n">
        <x:f>COUNTIFS($H$2:$H$1201,"&gt;"&amp;H375)+COUNTIFS($H$2:H375,H375)</x:f>
        <x:v>502</x:v>
      </x:c>
      <x:c r="K375" s="1"/>
      <x:c r="L375" s="1"/>
    </x:row>
    <x:row r="376" ht="22" customHeight="1">
      <x:c r="A376" s="8" t="n">
        <x:v>1087</x:v>
      </x:c>
      <x:c r="B376" s="6" t="n">
        <x:v>45046</x:v>
      </x:c>
      <x:c r="C376" s="2" t="str">
        <x:v>Товары для дома</x:v>
      </x:c>
      <x:c r="D376" s="2" t="str">
        <x:v>Полотенце</x:v>
      </x:c>
      <x:c r="E376" s="7" t="n">
        <x:v>45886.08</x:v>
      </x:c>
      <x:c r="F376" s="9" t="n">
        <x:v>1</x:v>
      </x:c>
      <x:c r="G376" s="2" t="str">
        <x:v>Московская область</x:v>
      </x:c>
      <x:c r="H376" s="7" t="n">
        <x:f>E376*F376</x:f>
        <x:v>45886.08</x:v>
      </x:c>
      <x:c r="I376" s="2" t="str">
        <x:f>TEXT(B376,"yyyy-mm")</x:f>
        <x:v>2023-04</x:v>
      </x:c>
      <x:c r="J376" s="8" t="n">
        <x:f>COUNTIFS($H$2:$H$1201,"&gt;"&amp;H376)+COUNTIFS($H$2:H376,H376)</x:f>
        <x:v>1094</x:v>
      </x:c>
      <x:c r="K376" s="1"/>
      <x:c r="L376" s="1"/>
    </x:row>
    <x:row r="377" ht="22" customHeight="1">
      <x:c r="A377" s="8" t="n">
        <x:v>103</x:v>
      </x:c>
      <x:c r="B377" s="6" t="n">
        <x:v>45047</x:v>
      </x:c>
      <x:c r="C377" s="2" t="str">
        <x:v>Одежда</x:v>
      </x:c>
      <x:c r="D377" s="2" t="str">
        <x:v>Футболка</x:v>
      </x:c>
      <x:c r="E377" s="7" t="n">
        <x:v>17214.09</x:v>
      </x:c>
      <x:c r="F377" s="9" t="n">
        <x:v>3</x:v>
      </x:c>
      <x:c r="G377" s="2" t="str">
        <x:v>Санкт‑Петербург</x:v>
      </x:c>
      <x:c r="H377" s="7" t="n">
        <x:f>E377*F377</x:f>
        <x:v>51642.270000000004</x:v>
      </x:c>
      <x:c r="I377" s="2" t="str">
        <x:f>TEXT(B377,"yyyy-mm")</x:f>
        <x:v>2023-05</x:v>
      </x:c>
      <x:c r="J377" s="8" t="n">
        <x:f>COUNTIFS($H$2:$H$1201,"&gt;"&amp;H377)+COUNTIFS($H$2:H377,H377)</x:f>
        <x:v>1080</x:v>
      </x:c>
      <x:c r="K377" s="1"/>
      <x:c r="L377" s="1"/>
    </x:row>
    <x:row r="378" ht="22" customHeight="1">
      <x:c r="A378" s="8" t="n">
        <x:v>173</x:v>
      </x:c>
      <x:c r="B378" s="6" t="n">
        <x:v>45047</x:v>
      </x:c>
      <x:c r="C378" s="2" t="str">
        <x:v>Продукты</x:v>
      </x:c>
      <x:c r="D378" s="2" t="str">
        <x:v>Шоколад</x:v>
      </x:c>
      <x:c r="E378" s="7" t="n">
        <x:v>35797.62</x:v>
      </x:c>
      <x:c r="F378" s="9" t="n">
        <x:v>3</x:v>
      </x:c>
      <x:c r="G378" s="2" t="str">
        <x:v>Казань</x:v>
      </x:c>
      <x:c r="H378" s="7" t="n">
        <x:f>E378*F378</x:f>
        <x:v>107392.86000000002</x:v>
      </x:c>
      <x:c r="I378" s="2" t="str">
        <x:f>TEXT(B378,"yyyy-mm")</x:f>
        <x:v>2023-05</x:v>
      </x:c>
      <x:c r="J378" s="8" t="n">
        <x:f>COUNTIFS($H$2:$H$1201,"&gt;"&amp;H378)+COUNTIFS($H$2:H378,H378)</x:f>
        <x:v>955</x:v>
      </x:c>
      <x:c r="K378" s="1"/>
      <x:c r="L378" s="1"/>
    </x:row>
    <x:row r="379" ht="22" customHeight="1">
      <x:c r="A379" s="8" t="n">
        <x:v>343</x:v>
      </x:c>
      <x:c r="B379" s="6" t="n">
        <x:v>45047</x:v>
      </x:c>
      <x:c r="C379" s="2" t="str">
        <x:v>Одежда</x:v>
      </x:c>
      <x:c r="D379" s="2" t="str">
        <x:v>Куртка</x:v>
      </x:c>
      <x:c r="E379" s="7" t="n">
        <x:v>116795.68</x:v>
      </x:c>
      <x:c r="F379" s="9" t="n">
        <x:v>10</x:v>
      </x:c>
      <x:c r="G379" s="2" t="str">
        <x:v>Новосибирск</x:v>
      </x:c>
      <x:c r="H379" s="7" t="n">
        <x:f>E379*F379</x:f>
        <x:v>1167956.7999999998</x:v>
      </x:c>
      <x:c r="I379" s="2" t="str">
        <x:f>TEXT(B379,"yyyy-mm")</x:f>
        <x:v>2023-05</x:v>
      </x:c>
      <x:c r="J379" s="8" t="n">
        <x:f>COUNTIFS($H$2:$H$1201,"&gt;"&amp;H379)+COUNTIFS($H$2:H379,H379)</x:f>
        <x:v>39</x:v>
      </x:c>
      <x:c r="K379" s="1"/>
      <x:c r="L379" s="1"/>
    </x:row>
    <x:row r="380" ht="22" customHeight="1">
      <x:c r="A380" s="8" t="n">
        <x:v>395</x:v>
      </x:c>
      <x:c r="B380" s="6" t="n">
        <x:v>45047</x:v>
      </x:c>
      <x:c r="C380" s="2" t="str">
        <x:v>Одежда</x:v>
      </x:c>
      <x:c r="D380" s="2" t="str">
        <x:v>Джинсы</x:v>
      </x:c>
      <x:c r="E380" s="7" t="n">
        <x:v>112418.4</x:v>
      </x:c>
      <x:c r="F380" s="9" t="n">
        <x:v>4</x:v>
      </x:c>
      <x:c r="G380" s="2" t="str">
        <x:v>Новосибирск</x:v>
      </x:c>
      <x:c r="H380" s="7" t="n">
        <x:f>E380*F380</x:f>
        <x:v>449673.6</x:v>
      </x:c>
      <x:c r="I380" s="2" t="str">
        <x:f>TEXT(B380,"yyyy-mm")</x:f>
        <x:v>2023-05</x:v>
      </x:c>
      <x:c r="J380" s="8" t="n">
        <x:f>COUNTIFS($H$2:$H$1201,"&gt;"&amp;H380)+COUNTIFS($H$2:H380,H380)</x:f>
        <x:v>452</x:v>
      </x:c>
      <x:c r="K380" s="1"/>
      <x:c r="L380" s="1"/>
    </x:row>
    <x:row r="381" ht="22" customHeight="1">
      <x:c r="A381" s="8" t="n">
        <x:v>1113</x:v>
      </x:c>
      <x:c r="B381" s="6" t="n">
        <x:v>45047</x:v>
      </x:c>
      <x:c r="C381" s="2" t="str">
        <x:v>Одежда</x:v>
      </x:c>
      <x:c r="D381" s="2" t="str">
        <x:v>Футболка</x:v>
      </x:c>
      <x:c r="E381" s="7" t="n">
        <x:v>9579.31</x:v>
      </x:c>
      <x:c r="F381" s="9" t="n">
        <x:v>7</x:v>
      </x:c>
      <x:c r="G381" s="2" t="str">
        <x:v>Московская область</x:v>
      </x:c>
      <x:c r="H381" s="7" t="n">
        <x:f>E381*F381</x:f>
        <x:v>67055.17</x:v>
      </x:c>
      <x:c r="I381" s="2" t="str">
        <x:f>TEXT(B381,"yyyy-mm")</x:f>
        <x:v>2023-05</x:v>
      </x:c>
      <x:c r="J381" s="8" t="n">
        <x:f>COUNTIFS($H$2:$H$1201,"&gt;"&amp;H381)+COUNTIFS($H$2:H381,H381)</x:f>
        <x:v>1041</x:v>
      </x:c>
      <x:c r="K381" s="1"/>
      <x:c r="L381" s="1"/>
    </x:row>
    <x:row r="382" ht="22" customHeight="1">
      <x:c r="A382" s="8" t="n">
        <x:v>804</x:v>
      </x:c>
      <x:c r="B382" s="6" t="n">
        <x:v>45048</x:v>
      </x:c>
      <x:c r="C382" s="2" t="str">
        <x:v>Товары для дома</x:v>
      </x:c>
      <x:c r="D382" s="2" t="str">
        <x:v>Подушка</x:v>
      </x:c>
      <x:c r="E382" s="7" t="n">
        <x:v>73427.86</x:v>
      </x:c>
      <x:c r="F382" s="9" t="n">
        <x:v>7</x:v>
      </x:c>
      <x:c r="G382" s="2" t="str">
        <x:v>Санкт‑Петербург</x:v>
      </x:c>
      <x:c r="H382" s="7" t="n">
        <x:f>E382*F382</x:f>
        <x:v>513995.02</x:v>
      </x:c>
      <x:c r="I382" s="2" t="str">
        <x:f>TEXT(B382,"yyyy-mm")</x:f>
        <x:v>2023-05</x:v>
      </x:c>
      <x:c r="J382" s="8" t="n">
        <x:f>COUNTIFS($H$2:$H$1201,"&gt;"&amp;H382)+COUNTIFS($H$2:H382,H382)</x:f>
        <x:v>397</x:v>
      </x:c>
      <x:c r="K382" s="1"/>
      <x:c r="L382" s="1"/>
    </x:row>
    <x:row r="383" ht="22" customHeight="1">
      <x:c r="A383" s="8" t="n">
        <x:v>94</x:v>
      </x:c>
      <x:c r="B383" s="6" t="n">
        <x:v>45049</x:v>
      </x:c>
      <x:c r="C383" s="2" t="str">
        <x:v>Продукты</x:v>
      </x:c>
      <x:c r="D383" s="2" t="str">
        <x:v>Кофе</x:v>
      </x:c>
      <x:c r="E383" s="7" t="n">
        <x:v>84724.96</x:v>
      </x:c>
      <x:c r="F383" s="9" t="n">
        <x:v>10</x:v>
      </x:c>
      <x:c r="G383" s="2" t="str">
        <x:v>Московская область</x:v>
      </x:c>
      <x:c r="H383" s="7" t="n">
        <x:f>E383*F383</x:f>
        <x:v>847249.6000000001</x:v>
      </x:c>
      <x:c r="I383" s="2" t="str">
        <x:f>TEXT(B383,"yyyy-mm")</x:f>
        <x:v>2023-05</x:v>
      </x:c>
      <x:c r="J383" s="8" t="n">
        <x:f>COUNTIFS($H$2:$H$1201,"&gt;"&amp;H383)+COUNTIFS($H$2:H383,H383)</x:f>
        <x:v>168</x:v>
      </x:c>
      <x:c r="K383" s="1"/>
      <x:c r="L383" s="1"/>
    </x:row>
    <x:row r="384" ht="22" customHeight="1">
      <x:c r="A384" s="8" t="n">
        <x:v>167</x:v>
      </x:c>
      <x:c r="B384" s="6" t="n">
        <x:v>45049</x:v>
      </x:c>
      <x:c r="C384" s="2" t="str">
        <x:v>Электроника</x:v>
      </x:c>
      <x:c r="D384" s="2" t="str">
        <x:v>Смартфон</x:v>
      </x:c>
      <x:c r="E384" s="7" t="n">
        <x:v>59892.66</x:v>
      </x:c>
      <x:c r="F384" s="9" t="n">
        <x:v>5</x:v>
      </x:c>
      <x:c r="G384" s="2" t="str">
        <x:v>Московская область</x:v>
      </x:c>
      <x:c r="H384" s="7" t="n">
        <x:f>E384*F384</x:f>
        <x:v>299463.30000000005</x:v>
      </x:c>
      <x:c r="I384" s="2" t="str">
        <x:f>TEXT(B384,"yyyy-mm")</x:f>
        <x:v>2023-05</x:v>
      </x:c>
      <x:c r="J384" s="8" t="n">
        <x:f>COUNTIFS($H$2:$H$1201,"&gt;"&amp;H384)+COUNTIFS($H$2:H384,H384)</x:f>
        <x:v>633</x:v>
      </x:c>
      <x:c r="K384" s="1"/>
      <x:c r="L384" s="1"/>
    </x:row>
    <x:row r="385" ht="22" customHeight="1">
      <x:c r="A385" s="8" t="n">
        <x:v>261</x:v>
      </x:c>
      <x:c r="B385" s="6" t="n">
        <x:v>45049</x:v>
      </x:c>
      <x:c r="C385" s="2" t="str">
        <x:v>Продукты</x:v>
      </x:c>
      <x:c r="D385" s="2" t="str">
        <x:v>Хлеб</x:v>
      </x:c>
      <x:c r="E385" s="7" t="n">
        <x:v>98146.71</x:v>
      </x:c>
      <x:c r="F385" s="9" t="n">
        <x:v>6</x:v>
      </x:c>
      <x:c r="G385" s="2" t="str">
        <x:v>Екатеринбург</x:v>
      </x:c>
      <x:c r="H385" s="7" t="n">
        <x:f>E385*F385</x:f>
        <x:v>588880.26</x:v>
      </x:c>
      <x:c r="I385" s="2" t="str">
        <x:f>TEXT(B385,"yyyy-mm")</x:f>
        <x:v>2023-05</x:v>
      </x:c>
      <x:c r="J385" s="8" t="n">
        <x:f>COUNTIFS($H$2:$H$1201,"&gt;"&amp;H385)+COUNTIFS($H$2:H385,H385)</x:f>
        <x:v>328</x:v>
      </x:c>
      <x:c r="K385" s="1"/>
      <x:c r="L385" s="1"/>
    </x:row>
    <x:row r="386" ht="22" customHeight="1">
      <x:c r="A386" s="8" t="n">
        <x:v>371</x:v>
      </x:c>
      <x:c r="B386" s="6" t="n">
        <x:v>45049</x:v>
      </x:c>
      <x:c r="C386" s="2" t="str">
        <x:v>Продукты</x:v>
      </x:c>
      <x:c r="D386" s="2" t="str">
        <x:v>Хлеб</x:v>
      </x:c>
      <x:c r="E386" s="7" t="n">
        <x:v>102515.29</x:v>
      </x:c>
      <x:c r="F386" s="9" t="n">
        <x:v>7</x:v>
      </x:c>
      <x:c r="G386" s="2" t="str">
        <x:v>Санкт‑Петербург</x:v>
      </x:c>
      <x:c r="H386" s="7" t="n">
        <x:f>E386*F386</x:f>
        <x:v>717607.0299999999</x:v>
      </x:c>
      <x:c r="I386" s="2" t="str">
        <x:f>TEXT(B386,"yyyy-mm")</x:f>
        <x:v>2023-05</x:v>
      </x:c>
      <x:c r="J386" s="8" t="n">
        <x:f>COUNTIFS($H$2:$H$1201,"&gt;"&amp;H386)+COUNTIFS($H$2:H386,H386)</x:f>
        <x:v>253</x:v>
      </x:c>
      <x:c r="K386" s="1"/>
      <x:c r="L386" s="1"/>
    </x:row>
    <x:row r="387" ht="22" customHeight="1">
      <x:c r="A387" s="8" t="n">
        <x:v>448</x:v>
      </x:c>
      <x:c r="B387" s="6" t="n">
        <x:v>45049</x:v>
      </x:c>
      <x:c r="C387" s="2" t="str">
        <x:v>Товары для дома</x:v>
      </x:c>
      <x:c r="D387" s="2" t="str">
        <x:v>Плед</x:v>
      </x:c>
      <x:c r="E387" s="7" t="n">
        <x:v>99184.1</x:v>
      </x:c>
      <x:c r="F387" s="9" t="n">
        <x:v>4</x:v>
      </x:c>
      <x:c r="G387" s="2" t="str">
        <x:v>Санкт‑Петербург</x:v>
      </x:c>
      <x:c r="H387" s="7" t="n">
        <x:f>E387*F387</x:f>
        <x:v>396736.4</x:v>
      </x:c>
      <x:c r="I387" s="2" t="str">
        <x:f>TEXT(B387,"yyyy-mm")</x:f>
        <x:v>2023-05</x:v>
      </x:c>
      <x:c r="J387" s="8" t="n">
        <x:f>COUNTIFS($H$2:$H$1201,"&gt;"&amp;H387)+COUNTIFS($H$2:H387,H387)</x:f>
        <x:v>523</x:v>
      </x:c>
      <x:c r="K387" s="1"/>
      <x:c r="L387" s="1"/>
    </x:row>
    <x:row r="388" ht="22" customHeight="1">
      <x:c r="A388" s="8" t="n">
        <x:v>605</x:v>
      </x:c>
      <x:c r="B388" s="6" t="n">
        <x:v>45049</x:v>
      </x:c>
      <x:c r="C388" s="2" t="str">
        <x:v>Продукты</x:v>
      </x:c>
      <x:c r="D388" s="2" t="str">
        <x:v>Хлеб</x:v>
      </x:c>
      <x:c r="E388" s="7" t="n">
        <x:v>83703.24</x:v>
      </x:c>
      <x:c r="F388" s="9" t="n">
        <x:v>2</x:v>
      </x:c>
      <x:c r="G388" s="2" t="str">
        <x:v>Московская область</x:v>
      </x:c>
      <x:c r="H388" s="7" t="n">
        <x:f>E388*F388</x:f>
        <x:v>167406.48</x:v>
      </x:c>
      <x:c r="I388" s="2" t="str">
        <x:f>TEXT(B388,"yyyy-mm")</x:f>
        <x:v>2023-05</x:v>
      </x:c>
      <x:c r="J388" s="8" t="n">
        <x:f>COUNTIFS($H$2:$H$1201,"&gt;"&amp;H388)+COUNTIFS($H$2:H388,H388)</x:f>
        <x:v>828</x:v>
      </x:c>
      <x:c r="K388" s="1"/>
      <x:c r="L388" s="1"/>
    </x:row>
    <x:row r="389" ht="22" customHeight="1">
      <x:c r="A389" s="8" t="n">
        <x:v>998</x:v>
      </x:c>
      <x:c r="B389" s="6" t="n">
        <x:v>45049</x:v>
      </x:c>
      <x:c r="C389" s="2" t="str">
        <x:v>Электроника</x:v>
      </x:c>
      <x:c r="D389" s="2" t="str">
        <x:v>Наушники</x:v>
      </x:c>
      <x:c r="E389" s="7" t="n">
        <x:v>24254.68</x:v>
      </x:c>
      <x:c r="F389" s="9" t="n">
        <x:v>6</x:v>
      </x:c>
      <x:c r="G389" s="2" t="str">
        <x:v>Екатеринбург</x:v>
      </x:c>
      <x:c r="H389" s="7" t="n">
        <x:f>E389*F389</x:f>
        <x:v>145528.08000000002</x:v>
      </x:c>
      <x:c r="I389" s="2" t="str">
        <x:f>TEXT(B389,"yyyy-mm")</x:f>
        <x:v>2023-05</x:v>
      </x:c>
      <x:c r="J389" s="8" t="n">
        <x:f>COUNTIFS($H$2:$H$1201,"&gt;"&amp;H389)+COUNTIFS($H$2:H389,H389)</x:f>
        <x:v>864</x:v>
      </x:c>
      <x:c r="K389" s="1"/>
      <x:c r="L389" s="1"/>
    </x:row>
    <x:row r="390" ht="22" customHeight="1">
      <x:c r="A390" s="8" t="n">
        <x:v>1135</x:v>
      </x:c>
      <x:c r="B390" s="6" t="n">
        <x:v>45049</x:v>
      </x:c>
      <x:c r="C390" s="2" t="str">
        <x:v>Продукты</x:v>
      </x:c>
      <x:c r="D390" s="2" t="str">
        <x:v>Хлеб</x:v>
      </x:c>
      <x:c r="E390" s="7" t="n">
        <x:v>75969.54</x:v>
      </x:c>
      <x:c r="F390" s="9" t="n">
        <x:v>9</x:v>
      </x:c>
      <x:c r="G390" s="2" t="str">
        <x:v>Екатеринбург</x:v>
      </x:c>
      <x:c r="H390" s="7" t="n">
        <x:f>E390*F390</x:f>
        <x:v>683725.86</x:v>
      </x:c>
      <x:c r="I390" s="2" t="str">
        <x:f>TEXT(B390,"yyyy-mm")</x:f>
        <x:v>2023-05</x:v>
      </x:c>
      <x:c r="J390" s="8" t="n">
        <x:f>COUNTIFS($H$2:$H$1201,"&gt;"&amp;H390)+COUNTIFS($H$2:H390,H390)</x:f>
        <x:v>276</x:v>
      </x:c>
      <x:c r="K390" s="1"/>
      <x:c r="L390" s="1"/>
    </x:row>
    <x:row r="391" ht="22" customHeight="1">
      <x:c r="A391" s="8" t="n">
        <x:v>1199</x:v>
      </x:c>
      <x:c r="B391" s="6" t="n">
        <x:v>45049</x:v>
      </x:c>
      <x:c r="C391" s="2" t="str">
        <x:v>Электроника</x:v>
      </x:c>
      <x:c r="D391" s="2" t="str">
        <x:v>Смартфон</x:v>
      </x:c>
      <x:c r="E391" s="7" t="n">
        <x:v>140488.31</x:v>
      </x:c>
      <x:c r="F391" s="9" t="n">
        <x:v>3</x:v>
      </x:c>
      <x:c r="G391" s="2" t="str">
        <x:v>Московская область</x:v>
      </x:c>
      <x:c r="H391" s="7" t="n">
        <x:f>E391*F391</x:f>
        <x:v>421464.93</x:v>
      </x:c>
      <x:c r="I391" s="2" t="str">
        <x:f>TEXT(B391,"yyyy-mm")</x:f>
        <x:v>2023-05</x:v>
      </x:c>
      <x:c r="J391" s="8" t="n">
        <x:f>COUNTIFS($H$2:$H$1201,"&gt;"&amp;H391)+COUNTIFS($H$2:H391,H391)</x:f>
        <x:v>494</x:v>
      </x:c>
      <x:c r="K391" s="1"/>
      <x:c r="L391" s="1"/>
    </x:row>
    <x:row r="392" ht="22" customHeight="1">
      <x:c r="A392" s="8" t="n">
        <x:v>583</x:v>
      </x:c>
      <x:c r="B392" s="6" t="n">
        <x:v>45051</x:v>
      </x:c>
      <x:c r="C392" s="2" t="str">
        <x:v>Одежда</x:v>
      </x:c>
      <x:c r="D392" s="2" t="str">
        <x:v>Джинсы</x:v>
      </x:c>
      <x:c r="E392" s="7" t="n">
        <x:v>6305.58</x:v>
      </x:c>
      <x:c r="F392" s="9" t="n">
        <x:v>2</x:v>
      </x:c>
      <x:c r="G392" s="2" t="str">
        <x:v>Казань</x:v>
      </x:c>
      <x:c r="H392" s="7" t="n">
        <x:f>E392*F392</x:f>
        <x:v>12611.16</x:v>
      </x:c>
      <x:c r="I392" s="2" t="str">
        <x:f>TEXT(B392,"yyyy-mm")</x:f>
        <x:v>2023-05</x:v>
      </x:c>
      <x:c r="J392" s="8" t="n">
        <x:f>COUNTIFS($H$2:$H$1201,"&gt;"&amp;H392)+COUNTIFS($H$2:H392,H392)</x:f>
        <x:v>1175</x:v>
      </x:c>
      <x:c r="K392" s="1"/>
      <x:c r="L392" s="1"/>
    </x:row>
    <x:row r="393" ht="22" customHeight="1">
      <x:c r="A393" s="8" t="n">
        <x:v>614</x:v>
      </x:c>
      <x:c r="B393" s="6" t="n">
        <x:v>45051</x:v>
      </x:c>
      <x:c r="C393" s="2" t="str">
        <x:v>Товары для дома</x:v>
      </x:c>
      <x:c r="D393" s="2" t="str">
        <x:v>Плед</x:v>
      </x:c>
      <x:c r="E393" s="7" t="n">
        <x:v>143985.76</x:v>
      </x:c>
      <x:c r="F393" s="9" t="n">
        <x:v>8</x:v>
      </x:c>
      <x:c r="G393" s="2" t="str">
        <x:v>Новосибирск</x:v>
      </x:c>
      <x:c r="H393" s="7" t="n">
        <x:f>E393*F393</x:f>
        <x:v>1151886.08</x:v>
      </x:c>
      <x:c r="I393" s="2" t="str">
        <x:f>TEXT(B393,"yyyy-mm")</x:f>
        <x:v>2023-05</x:v>
      </x:c>
      <x:c r="J393" s="8" t="n">
        <x:f>COUNTIFS($H$2:$H$1201,"&gt;"&amp;H393)+COUNTIFS($H$2:H393,H393)</x:f>
        <x:v>45</x:v>
      </x:c>
      <x:c r="K393" s="1"/>
      <x:c r="L393" s="1"/>
    </x:row>
    <x:row r="394" ht="22" customHeight="1">
      <x:c r="A394" s="8" t="n">
        <x:v>625</x:v>
      </x:c>
      <x:c r="B394" s="6" t="n">
        <x:v>45051</x:v>
      </x:c>
      <x:c r="C394" s="2" t="str">
        <x:v>Товары для дома</x:v>
      </x:c>
      <x:c r="D394" s="2" t="str">
        <x:v>Плед</x:v>
      </x:c>
      <x:c r="E394" s="7" t="n">
        <x:v>23928.62</x:v>
      </x:c>
      <x:c r="F394" s="9" t="n">
        <x:v>3</x:v>
      </x:c>
      <x:c r="G394" s="2" t="str">
        <x:v>Новосибирск</x:v>
      </x:c>
      <x:c r="H394" s="7" t="n">
        <x:f>E394*F394</x:f>
        <x:v>71785.86</x:v>
      </x:c>
      <x:c r="I394" s="2" t="str">
        <x:f>TEXT(B394,"yyyy-mm")</x:f>
        <x:v>2023-05</x:v>
      </x:c>
      <x:c r="J394" s="8" t="n">
        <x:f>COUNTIFS($H$2:$H$1201,"&gt;"&amp;H394)+COUNTIFS($H$2:H394,H394)</x:f>
        <x:v>1035</x:v>
      </x:c>
      <x:c r="K394" s="1"/>
      <x:c r="L394" s="1"/>
    </x:row>
    <x:row r="395" ht="22" customHeight="1">
      <x:c r="A395" s="8" t="n">
        <x:v>1167</x:v>
      </x:c>
      <x:c r="B395" s="6" t="n">
        <x:v>45051</x:v>
      </x:c>
      <x:c r="C395" s="2" t="str">
        <x:v>Одежда</x:v>
      </x:c>
      <x:c r="D395" s="2" t="str">
        <x:v>Кроссовки</x:v>
      </x:c>
      <x:c r="E395" s="7" t="n">
        <x:v>8009.11</x:v>
      </x:c>
      <x:c r="F395" s="9" t="n">
        <x:v>8</x:v>
      </x:c>
      <x:c r="G395" s="2" t="str">
        <x:v>Санкт‑Петербург</x:v>
      </x:c>
      <x:c r="H395" s="7" t="n">
        <x:f>E395*F395</x:f>
        <x:v>64072.88</x:v>
      </x:c>
      <x:c r="I395" s="2" t="str">
        <x:f>TEXT(B395,"yyyy-mm")</x:f>
        <x:v>2023-05</x:v>
      </x:c>
      <x:c r="J395" s="8" t="n">
        <x:f>COUNTIFS($H$2:$H$1201,"&gt;"&amp;H395)+COUNTIFS($H$2:H395,H395)</x:f>
        <x:v>1047</x:v>
      </x:c>
      <x:c r="K395" s="1"/>
      <x:c r="L395" s="1"/>
    </x:row>
    <x:row r="396" ht="22" customHeight="1">
      <x:c r="A396" s="8" t="n">
        <x:v>413</x:v>
      </x:c>
      <x:c r="B396" s="6" t="n">
        <x:v>45052</x:v>
      </x:c>
      <x:c r="C396" s="2" t="str">
        <x:v>Продукты</x:v>
      </x:c>
      <x:c r="D396" s="2" t="str">
        <x:v>Хлеб</x:v>
      </x:c>
      <x:c r="E396" s="7" t="n">
        <x:v>44899.42</x:v>
      </x:c>
      <x:c r="F396" s="9" t="n">
        <x:v>3</x:v>
      </x:c>
      <x:c r="G396" s="2" t="str">
        <x:v>Новосибирск</x:v>
      </x:c>
      <x:c r="H396" s="7" t="n">
        <x:f>E396*F396</x:f>
        <x:v>134698.26</x:v>
      </x:c>
      <x:c r="I396" s="2" t="str">
        <x:f>TEXT(B396,"yyyy-mm")</x:f>
        <x:v>2023-05</x:v>
      </x:c>
      <x:c r="J396" s="8" t="n">
        <x:f>COUNTIFS($H$2:$H$1201,"&gt;"&amp;H396)+COUNTIFS($H$2:H396,H396)</x:f>
        <x:v>893</x:v>
      </x:c>
      <x:c r="K396" s="1"/>
      <x:c r="L396" s="1"/>
    </x:row>
    <x:row r="397" ht="22" customHeight="1">
      <x:c r="A397" s="8" t="n">
        <x:v>889</x:v>
      </x:c>
      <x:c r="B397" s="6" t="n">
        <x:v>45052</x:v>
      </x:c>
      <x:c r="C397" s="2" t="str">
        <x:v>Продукты</x:v>
      </x:c>
      <x:c r="D397" s="2" t="str">
        <x:v>Шоколад</x:v>
      </x:c>
      <x:c r="E397" s="7" t="n">
        <x:v>72203.3</x:v>
      </x:c>
      <x:c r="F397" s="9" t="n">
        <x:v>7</x:v>
      </x:c>
      <x:c r="G397" s="2" t="str">
        <x:v>Новосибирск</x:v>
      </x:c>
      <x:c r="H397" s="7" t="n">
        <x:f>E397*F397</x:f>
        <x:v>505423.10000000003</x:v>
      </x:c>
      <x:c r="I397" s="2" t="str">
        <x:f>TEXT(B397,"yyyy-mm")</x:f>
        <x:v>2023-05</x:v>
      </x:c>
      <x:c r="J397" s="8" t="n">
        <x:f>COUNTIFS($H$2:$H$1201,"&gt;"&amp;H397)+COUNTIFS($H$2:H397,H397)</x:f>
        <x:v>404</x:v>
      </x:c>
      <x:c r="K397" s="1"/>
      <x:c r="L397" s="1"/>
    </x:row>
    <x:row r="398" ht="22" customHeight="1">
      <x:c r="A398" s="8" t="n">
        <x:v>1045</x:v>
      </x:c>
      <x:c r="B398" s="6" t="n">
        <x:v>45052</x:v>
      </x:c>
      <x:c r="C398" s="2" t="str">
        <x:v>Товары для дома</x:v>
      </x:c>
      <x:c r="D398" s="2" t="str">
        <x:v>Полотенце</x:v>
      </x:c>
      <x:c r="E398" s="7" t="n">
        <x:v>131415.91</x:v>
      </x:c>
      <x:c r="F398" s="9" t="n">
        <x:v>7</x:v>
      </x:c>
      <x:c r="G398" s="2" t="str">
        <x:v>Новосибирск</x:v>
      </x:c>
      <x:c r="H398" s="7" t="n">
        <x:f>E398*F398</x:f>
        <x:v>919911.37</x:v>
      </x:c>
      <x:c r="I398" s="2" t="str">
        <x:f>TEXT(B398,"yyyy-mm")</x:f>
        <x:v>2023-05</x:v>
      </x:c>
      <x:c r="J398" s="8" t="n">
        <x:f>COUNTIFS($H$2:$H$1201,"&gt;"&amp;H398)+COUNTIFS($H$2:H398,H398)</x:f>
        <x:v>125</x:v>
      </x:c>
      <x:c r="K398" s="1"/>
      <x:c r="L398" s="1"/>
    </x:row>
    <x:row r="399" ht="22" customHeight="1">
      <x:c r="A399" s="8" t="n">
        <x:v>384</x:v>
      </x:c>
      <x:c r="B399" s="6" t="n">
        <x:v>45053</x:v>
      </x:c>
      <x:c r="C399" s="2" t="str">
        <x:v>Электроника</x:v>
      </x:c>
      <x:c r="D399" s="2" t="str">
        <x:v>Наушники</x:v>
      </x:c>
      <x:c r="E399" s="7" t="n">
        <x:v>40031.68</x:v>
      </x:c>
      <x:c r="F399" s="9" t="n">
        <x:v>4</x:v>
      </x:c>
      <x:c r="G399" s="2" t="str">
        <x:v>Новосибирск</x:v>
      </x:c>
      <x:c r="H399" s="7" t="n">
        <x:f>E399*F399</x:f>
        <x:v>160126.72</x:v>
      </x:c>
      <x:c r="I399" s="2" t="str">
        <x:f>TEXT(B399,"yyyy-mm")</x:f>
        <x:v>2023-05</x:v>
      </x:c>
      <x:c r="J399" s="8" t="n">
        <x:f>COUNTIFS($H$2:$H$1201,"&gt;"&amp;H399)+COUNTIFS($H$2:H399,H399)</x:f>
        <x:v>838</x:v>
      </x:c>
      <x:c r="K399" s="1"/>
      <x:c r="L399" s="1"/>
    </x:row>
    <x:row r="400" ht="22" customHeight="1">
      <x:c r="A400" s="8" t="n">
        <x:v>1028</x:v>
      </x:c>
      <x:c r="B400" s="6" t="n">
        <x:v>45053</x:v>
      </x:c>
      <x:c r="C400" s="2" t="str">
        <x:v>Товары для дома</x:v>
      </x:c>
      <x:c r="D400" s="2" t="str">
        <x:v>Подушка</x:v>
      </x:c>
      <x:c r="E400" s="7" t="n">
        <x:v>106983.17</x:v>
      </x:c>
      <x:c r="F400" s="9" t="n">
        <x:v>3</x:v>
      </x:c>
      <x:c r="G400" s="2" t="str">
        <x:v>Московская область</x:v>
      </x:c>
      <x:c r="H400" s="7" t="n">
        <x:f>E400*F400</x:f>
        <x:v>320949.51</x:v>
      </x:c>
      <x:c r="I400" s="2" t="str">
        <x:f>TEXT(B400,"yyyy-mm")</x:f>
        <x:v>2023-05</x:v>
      </x:c>
      <x:c r="J400" s="8" t="n">
        <x:f>COUNTIFS($H$2:$H$1201,"&gt;"&amp;H400)+COUNTIFS($H$2:H400,H400)</x:f>
        <x:v>613</x:v>
      </x:c>
      <x:c r="K400" s="1"/>
      <x:c r="L400" s="1"/>
    </x:row>
    <x:row r="401" ht="22" customHeight="1">
      <x:c r="A401" s="8" t="n">
        <x:v>320</x:v>
      </x:c>
      <x:c r="B401" s="6" t="n">
        <x:v>45054</x:v>
      </x:c>
      <x:c r="C401" s="2" t="str">
        <x:v>Электроника</x:v>
      </x:c>
      <x:c r="D401" s="2" t="str">
        <x:v>Наушники</x:v>
      </x:c>
      <x:c r="E401" s="7" t="n">
        <x:v>142878.58</x:v>
      </x:c>
      <x:c r="F401" s="9" t="n">
        <x:v>8</x:v>
      </x:c>
      <x:c r="G401" s="2" t="str">
        <x:v>Московская область</x:v>
      </x:c>
      <x:c r="H401" s="7" t="n">
        <x:f>E401*F401</x:f>
        <x:v>1143028.64</x:v>
      </x:c>
      <x:c r="I401" s="2" t="str">
        <x:f>TEXT(B401,"yyyy-mm")</x:f>
        <x:v>2023-05</x:v>
      </x:c>
      <x:c r="J401" s="8" t="n">
        <x:f>COUNTIFS($H$2:$H$1201,"&gt;"&amp;H401)+COUNTIFS($H$2:H401,H401)</x:f>
        <x:v>48</x:v>
      </x:c>
      <x:c r="K401" s="1"/>
      <x:c r="L401" s="1"/>
    </x:row>
    <x:row r="402" ht="22" customHeight="1">
      <x:c r="A402" s="8" t="n">
        <x:v>109</x:v>
      </x:c>
      <x:c r="B402" s="6" t="n">
        <x:v>45055</x:v>
      </x:c>
      <x:c r="C402" s="2" t="str">
        <x:v>Товары для дома</x:v>
      </x:c>
      <x:c r="D402" s="2" t="str">
        <x:v>Подушка</x:v>
      </x:c>
      <x:c r="E402" s="7" t="n">
        <x:v>42367.31</x:v>
      </x:c>
      <x:c r="F402" s="9" t="n">
        <x:v>6</x:v>
      </x:c>
      <x:c r="G402" s="2" t="str">
        <x:v>Казань</x:v>
      </x:c>
      <x:c r="H402" s="7" t="n">
        <x:f>E402*F402</x:f>
        <x:v>254203.86</x:v>
      </x:c>
      <x:c r="I402" s="2" t="str">
        <x:f>TEXT(B402,"yyyy-mm")</x:f>
        <x:v>2023-05</x:v>
      </x:c>
      <x:c r="J402" s="8" t="n">
        <x:f>COUNTIFS($H$2:$H$1201,"&gt;"&amp;H402)+COUNTIFS($H$2:H402,H402)</x:f>
        <x:v>696</x:v>
      </x:c>
      <x:c r="K402" s="1"/>
      <x:c r="L402" s="1"/>
    </x:row>
    <x:row r="403" ht="22" customHeight="1">
      <x:c r="A403" s="8" t="n">
        <x:v>859</x:v>
      </x:c>
      <x:c r="B403" s="6" t="n">
        <x:v>45055</x:v>
      </x:c>
      <x:c r="C403" s="2" t="str">
        <x:v>Товары для дома</x:v>
      </x:c>
      <x:c r="D403" s="2" t="str">
        <x:v>Подушка</x:v>
      </x:c>
      <x:c r="E403" s="7" t="n">
        <x:v>84721.33</x:v>
      </x:c>
      <x:c r="F403" s="9" t="n">
        <x:v>2</x:v>
      </x:c>
      <x:c r="G403" s="2" t="str">
        <x:v>Новосибирск</x:v>
      </x:c>
      <x:c r="H403" s="7" t="n">
        <x:f>E403*F403</x:f>
        <x:v>169442.66</x:v>
      </x:c>
      <x:c r="I403" s="2" t="str">
        <x:f>TEXT(B403,"yyyy-mm")</x:f>
        <x:v>2023-05</x:v>
      </x:c>
      <x:c r="J403" s="8" t="n">
        <x:f>COUNTIFS($H$2:$H$1201,"&gt;"&amp;H403)+COUNTIFS($H$2:H403,H403)</x:f>
        <x:v>823</x:v>
      </x:c>
      <x:c r="K403" s="1"/>
      <x:c r="L403" s="1"/>
    </x:row>
    <x:row r="404" ht="22" customHeight="1">
      <x:c r="A404" s="8" t="n">
        <x:v>246</x:v>
      </x:c>
      <x:c r="B404" s="6" t="n">
        <x:v>45056</x:v>
      </x:c>
      <x:c r="C404" s="2" t="str">
        <x:v>Электроника</x:v>
      </x:c>
      <x:c r="D404" s="2" t="str">
        <x:v>Планшет</x:v>
      </x:c>
      <x:c r="E404" s="7" t="n">
        <x:v>113079.48</x:v>
      </x:c>
      <x:c r="F404" s="9" t="n">
        <x:v>2</x:v>
      </x:c>
      <x:c r="G404" s="2" t="str">
        <x:v>Екатеринбург</x:v>
      </x:c>
      <x:c r="H404" s="7" t="n">
        <x:f>E404*F404</x:f>
        <x:v>226158.96</x:v>
      </x:c>
      <x:c r="I404" s="2" t="str">
        <x:f>TEXT(B404,"yyyy-mm")</x:f>
        <x:v>2023-05</x:v>
      </x:c>
      <x:c r="J404" s="8" t="n">
        <x:f>COUNTIFS($H$2:$H$1201,"&gt;"&amp;H404)+COUNTIFS($H$2:H404,H404)</x:f>
        <x:v>741</x:v>
      </x:c>
      <x:c r="K404" s="1"/>
      <x:c r="L404" s="1"/>
    </x:row>
    <x:row r="405" ht="22" customHeight="1">
      <x:c r="A405" s="8" t="n">
        <x:v>558</x:v>
      </x:c>
      <x:c r="B405" s="6" t="n">
        <x:v>45056</x:v>
      </x:c>
      <x:c r="C405" s="2" t="str">
        <x:v>Электроника</x:v>
      </x:c>
      <x:c r="D405" s="2" t="str">
        <x:v>Ноутбук</x:v>
      </x:c>
      <x:c r="E405" s="7" t="n">
        <x:v>102466.18</x:v>
      </x:c>
      <x:c r="F405" s="9" t="n">
        <x:v>9</x:v>
      </x:c>
      <x:c r="G405" s="2" t="str">
        <x:v>Москва</x:v>
      </x:c>
      <x:c r="H405" s="7" t="n">
        <x:f>E405*F405</x:f>
        <x:v>922195.6199999999</x:v>
      </x:c>
      <x:c r="I405" s="2" t="str">
        <x:f>TEXT(B405,"yyyy-mm")</x:f>
        <x:v>2023-05</x:v>
      </x:c>
      <x:c r="J405" s="8" t="n">
        <x:f>COUNTIFS($H$2:$H$1201,"&gt;"&amp;H405)+COUNTIFS($H$2:H405,H405)</x:f>
        <x:v>121</x:v>
      </x:c>
      <x:c r="K405" s="1"/>
      <x:c r="L405" s="1"/>
    </x:row>
    <x:row r="406" ht="22" customHeight="1">
      <x:c r="A406" s="8" t="n">
        <x:v>824</x:v>
      </x:c>
      <x:c r="B406" s="6" t="n">
        <x:v>45056</x:v>
      </x:c>
      <x:c r="C406" s="2" t="str">
        <x:v>Одежда</x:v>
      </x:c>
      <x:c r="D406" s="2" t="str">
        <x:v>Куртка</x:v>
      </x:c>
      <x:c r="E406" s="7" t="n">
        <x:v>66198.49</x:v>
      </x:c>
      <x:c r="F406" s="9" t="n">
        <x:v>10</x:v>
      </x:c>
      <x:c r="G406" s="2" t="str">
        <x:v>Екатеринбург</x:v>
      </x:c>
      <x:c r="H406" s="7" t="n">
        <x:f>E406*F406</x:f>
        <x:v>661984.9</x:v>
      </x:c>
      <x:c r="I406" s="2" t="str">
        <x:f>TEXT(B406,"yyyy-mm")</x:f>
        <x:v>2023-05</x:v>
      </x:c>
      <x:c r="J406" s="8" t="n">
        <x:f>COUNTIFS($H$2:$H$1201,"&gt;"&amp;H406)+COUNTIFS($H$2:H406,H406)</x:f>
        <x:v>292</x:v>
      </x:c>
      <x:c r="K406" s="1"/>
      <x:c r="L406" s="1"/>
    </x:row>
    <x:row r="407" ht="22" customHeight="1">
      <x:c r="A407" s="8" t="n">
        <x:v>1009</x:v>
      </x:c>
      <x:c r="B407" s="6" t="n">
        <x:v>45056</x:v>
      </x:c>
      <x:c r="C407" s="2" t="str">
        <x:v>Электроника</x:v>
      </x:c>
      <x:c r="D407" s="2" t="str">
        <x:v>Наушники</x:v>
      </x:c>
      <x:c r="E407" s="7" t="n">
        <x:v>69792.22</x:v>
      </x:c>
      <x:c r="F407" s="9" t="n">
        <x:v>2</x:v>
      </x:c>
      <x:c r="G407" s="2" t="str">
        <x:v>Новосибирск</x:v>
      </x:c>
      <x:c r="H407" s="7" t="n">
        <x:f>E407*F407</x:f>
        <x:v>139584.44</x:v>
      </x:c>
      <x:c r="I407" s="2" t="str">
        <x:f>TEXT(B407,"yyyy-mm")</x:f>
        <x:v>2023-05</x:v>
      </x:c>
      <x:c r="J407" s="8" t="n">
        <x:f>COUNTIFS($H$2:$H$1201,"&gt;"&amp;H407)+COUNTIFS($H$2:H407,H407)</x:f>
        <x:v>878</x:v>
      </x:c>
      <x:c r="K407" s="1"/>
      <x:c r="L407" s="1"/>
    </x:row>
    <x:row r="408" ht="22" customHeight="1">
      <x:c r="A408" s="8" t="n">
        <x:v>1181</x:v>
      </x:c>
      <x:c r="B408" s="6" t="n">
        <x:v>45056</x:v>
      </x:c>
      <x:c r="C408" s="2" t="str">
        <x:v>Товары для дома</x:v>
      </x:c>
      <x:c r="D408" s="2" t="str">
        <x:v>Кружка</x:v>
      </x:c>
      <x:c r="E408" s="7" t="n">
        <x:v>75640.86</x:v>
      </x:c>
      <x:c r="F408" s="9" t="n">
        <x:v>1</x:v>
      </x:c>
      <x:c r="G408" s="2" t="str">
        <x:v>Московская область</x:v>
      </x:c>
      <x:c r="H408" s="7" t="n">
        <x:f>E408*F408</x:f>
        <x:v>75640.86</x:v>
      </x:c>
      <x:c r="I408" s="2" t="str">
        <x:f>TEXT(B408,"yyyy-mm")</x:f>
        <x:v>2023-05</x:v>
      </x:c>
      <x:c r="J408" s="8" t="n">
        <x:f>COUNTIFS($H$2:$H$1201,"&gt;"&amp;H408)+COUNTIFS($H$2:H408,H408)</x:f>
        <x:v>1027</x:v>
      </x:c>
      <x:c r="K408" s="1"/>
      <x:c r="L408" s="1"/>
    </x:row>
    <x:row r="409" ht="22" customHeight="1">
      <x:c r="A409" s="8" t="n">
        <x:v>257</x:v>
      </x:c>
      <x:c r="B409" s="6" t="n">
        <x:v>45057</x:v>
      </x:c>
      <x:c r="C409" s="2" t="str">
        <x:v>Электроника</x:v>
      </x:c>
      <x:c r="D409" s="2" t="str">
        <x:v>Смартфон</x:v>
      </x:c>
      <x:c r="E409" s="7" t="n">
        <x:v>128885.36</x:v>
      </x:c>
      <x:c r="F409" s="9" t="n">
        <x:v>6</x:v>
      </x:c>
      <x:c r="G409" s="2" t="str">
        <x:v>Москва</x:v>
      </x:c>
      <x:c r="H409" s="7" t="n">
        <x:f>E409*F409</x:f>
        <x:v>773312.16</x:v>
      </x:c>
      <x:c r="I409" s="2" t="str">
        <x:f>TEXT(B409,"yyyy-mm")</x:f>
        <x:v>2023-05</x:v>
      </x:c>
      <x:c r="J409" s="8" t="n">
        <x:f>COUNTIFS($H$2:$H$1201,"&gt;"&amp;H409)+COUNTIFS($H$2:H409,H409)</x:f>
        <x:v>211</x:v>
      </x:c>
      <x:c r="K409" s="1"/>
      <x:c r="L409" s="1"/>
    </x:row>
    <x:row r="410" ht="22" customHeight="1">
      <x:c r="A410" s="8" t="n">
        <x:v>799</x:v>
      </x:c>
      <x:c r="B410" s="6" t="n">
        <x:v>45057</x:v>
      </x:c>
      <x:c r="C410" s="2" t="str">
        <x:v>Одежда</x:v>
      </x:c>
      <x:c r="D410" s="2" t="str">
        <x:v>Куртка</x:v>
      </x:c>
      <x:c r="E410" s="7" t="n">
        <x:v>15488.38</x:v>
      </x:c>
      <x:c r="F410" s="9" t="n">
        <x:v>5</x:v>
      </x:c>
      <x:c r="G410" s="2" t="str">
        <x:v>Казань</x:v>
      </x:c>
      <x:c r="H410" s="7" t="n">
        <x:f>E410*F410</x:f>
        <x:v>77441.9</x:v>
      </x:c>
      <x:c r="I410" s="2" t="str">
        <x:f>TEXT(B410,"yyyy-mm")</x:f>
        <x:v>2023-05</x:v>
      </x:c>
      <x:c r="J410" s="8" t="n">
        <x:f>COUNTIFS($H$2:$H$1201,"&gt;"&amp;H410)+COUNTIFS($H$2:H410,H410)</x:f>
        <x:v>1023</x:v>
      </x:c>
      <x:c r="K410" s="1"/>
      <x:c r="L410" s="1"/>
    </x:row>
    <x:row r="411" ht="22" customHeight="1">
      <x:c r="A411" s="8" t="n">
        <x:v>289</x:v>
      </x:c>
      <x:c r="B411" s="6" t="n">
        <x:v>45058</x:v>
      </x:c>
      <x:c r="C411" s="2" t="str">
        <x:v>Одежда</x:v>
      </x:c>
      <x:c r="D411" s="2" t="str">
        <x:v>Кроссовки</x:v>
      </x:c>
      <x:c r="E411" s="7" t="n">
        <x:v>44500.01</x:v>
      </x:c>
      <x:c r="F411" s="9" t="n">
        <x:v>5</x:v>
      </x:c>
      <x:c r="G411" s="2" t="str">
        <x:v>Санкт‑Петербург</x:v>
      </x:c>
      <x:c r="H411" s="7" t="n">
        <x:f>E411*F411</x:f>
        <x:v>222500.05000000002</x:v>
      </x:c>
      <x:c r="I411" s="2" t="str">
        <x:f>TEXT(B411,"yyyy-mm")</x:f>
        <x:v>2023-05</x:v>
      </x:c>
      <x:c r="J411" s="8" t="n">
        <x:f>COUNTIFS($H$2:$H$1201,"&gt;"&amp;H411)+COUNTIFS($H$2:H411,H411)</x:f>
        <x:v>749</x:v>
      </x:c>
      <x:c r="K411" s="1"/>
      <x:c r="L411" s="1"/>
    </x:row>
    <x:row r="412" ht="22" customHeight="1">
      <x:c r="A412" s="8" t="n">
        <x:v>389</x:v>
      </x:c>
      <x:c r="B412" s="6" t="n">
        <x:v>45058</x:v>
      </x:c>
      <x:c r="C412" s="2" t="str">
        <x:v>Продукты</x:v>
      </x:c>
      <x:c r="D412" s="2" t="str">
        <x:v>Кофе</x:v>
      </x:c>
      <x:c r="E412" s="7" t="n">
        <x:v>86314.54</x:v>
      </x:c>
      <x:c r="F412" s="9" t="n">
        <x:v>6</x:v>
      </x:c>
      <x:c r="G412" s="2" t="str">
        <x:v>Москва</x:v>
      </x:c>
      <x:c r="H412" s="7" t="n">
        <x:f>E412*F412</x:f>
        <x:v>517887.24</x:v>
      </x:c>
      <x:c r="I412" s="2" t="str">
        <x:f>TEXT(B412,"yyyy-mm")</x:f>
        <x:v>2023-05</x:v>
      </x:c>
      <x:c r="J412" s="8" t="n">
        <x:f>COUNTIFS($H$2:$H$1201,"&gt;"&amp;H412)+COUNTIFS($H$2:H412,H412)</x:f>
        <x:v>393</x:v>
      </x:c>
      <x:c r="K412" s="1"/>
      <x:c r="L412" s="1"/>
    </x:row>
    <x:row r="413" ht="22" customHeight="1">
      <x:c r="A413" s="8" t="n">
        <x:v>778</x:v>
      </x:c>
      <x:c r="B413" s="6" t="n">
        <x:v>45058</x:v>
      </x:c>
      <x:c r="C413" s="2" t="str">
        <x:v>Товары для дома</x:v>
      </x:c>
      <x:c r="D413" s="2" t="str">
        <x:v>Полотенце</x:v>
      </x:c>
      <x:c r="E413" s="7" t="n">
        <x:v>47843.62</x:v>
      </x:c>
      <x:c r="F413" s="9" t="n">
        <x:v>2</x:v>
      </x:c>
      <x:c r="G413" s="2" t="str">
        <x:v>Москва</x:v>
      </x:c>
      <x:c r="H413" s="7" t="n">
        <x:f>E413*F413</x:f>
        <x:v>95687.24</x:v>
      </x:c>
      <x:c r="I413" s="2" t="str">
        <x:f>TEXT(B413,"yyyy-mm")</x:f>
        <x:v>2023-05</x:v>
      </x:c>
      <x:c r="J413" s="8" t="n">
        <x:f>COUNTIFS($H$2:$H$1201,"&gt;"&amp;H413)+COUNTIFS($H$2:H413,H413)</x:f>
        <x:v>979</x:v>
      </x:c>
      <x:c r="K413" s="1"/>
      <x:c r="L413" s="1"/>
    </x:row>
    <x:row r="414" ht="22" customHeight="1">
      <x:c r="A414" s="8" t="n">
        <x:v>1146</x:v>
      </x:c>
      <x:c r="B414" s="6" t="n">
        <x:v>45058</x:v>
      </x:c>
      <x:c r="C414" s="2" t="str">
        <x:v>Продукты</x:v>
      </x:c>
      <x:c r="D414" s="2" t="str">
        <x:v>Молоко</x:v>
      </x:c>
      <x:c r="E414" s="7" t="n">
        <x:v>127496.94</x:v>
      </x:c>
      <x:c r="F414" s="9" t="n">
        <x:v>2</x:v>
      </x:c>
      <x:c r="G414" s="2" t="str">
        <x:v>Екатеринбург</x:v>
      </x:c>
      <x:c r="H414" s="7" t="n">
        <x:f>E414*F414</x:f>
        <x:v>254993.88</x:v>
      </x:c>
      <x:c r="I414" s="2" t="str">
        <x:f>TEXT(B414,"yyyy-mm")</x:f>
        <x:v>2023-05</x:v>
      </x:c>
      <x:c r="J414" s="8" t="n">
        <x:f>COUNTIFS($H$2:$H$1201,"&gt;"&amp;H414)+COUNTIFS($H$2:H414,H414)</x:f>
        <x:v>695</x:v>
      </x:c>
      <x:c r="K414" s="1"/>
      <x:c r="L414" s="1"/>
    </x:row>
    <x:row r="415" ht="22" customHeight="1">
      <x:c r="A415" s="8" t="n">
        <x:v>5</x:v>
      </x:c>
      <x:c r="B415" s="6" t="n">
        <x:v>45059</x:v>
      </x:c>
      <x:c r="C415" s="2" t="str">
        <x:v>Одежда</x:v>
      </x:c>
      <x:c r="D415" s="2" t="str">
        <x:v>Джинсы</x:v>
      </x:c>
      <x:c r="E415" s="7" t="n">
        <x:v>73550.58</x:v>
      </x:c>
      <x:c r="F415" s="9" t="n">
        <x:v>1</x:v>
      </x:c>
      <x:c r="G415" s="2" t="str">
        <x:v>Новосибирск</x:v>
      </x:c>
      <x:c r="H415" s="7" t="n">
        <x:f>E415*F415</x:f>
        <x:v>73550.58</x:v>
      </x:c>
      <x:c r="I415" s="2" t="str">
        <x:f>TEXT(B415,"yyyy-mm")</x:f>
        <x:v>2023-05</x:v>
      </x:c>
      <x:c r="J415" s="8" t="n">
        <x:f>COUNTIFS($H$2:$H$1201,"&gt;"&amp;H415)+COUNTIFS($H$2:H415,H415)</x:f>
        <x:v>1031</x:v>
      </x:c>
      <x:c r="K415" s="1"/>
      <x:c r="L415" s="1"/>
    </x:row>
    <x:row r="416" ht="22" customHeight="1">
      <x:c r="A416" s="8" t="n">
        <x:v>1079</x:v>
      </x:c>
      <x:c r="B416" s="6" t="n">
        <x:v>45059</x:v>
      </x:c>
      <x:c r="C416" s="2" t="str">
        <x:v>Одежда</x:v>
      </x:c>
      <x:c r="D416" s="2" t="str">
        <x:v>Кроссовки</x:v>
      </x:c>
      <x:c r="E416" s="7" t="n">
        <x:v>91482.03</x:v>
      </x:c>
      <x:c r="F416" s="9" t="n">
        <x:v>4</x:v>
      </x:c>
      <x:c r="G416" s="2" t="str">
        <x:v>Московская область</x:v>
      </x:c>
      <x:c r="H416" s="7" t="n">
        <x:f>E416*F416</x:f>
        <x:v>365928.12</x:v>
      </x:c>
      <x:c r="I416" s="2" t="str">
        <x:f>TEXT(B416,"yyyy-mm")</x:f>
        <x:v>2023-05</x:v>
      </x:c>
      <x:c r="J416" s="8" t="n">
        <x:f>COUNTIFS($H$2:$H$1201,"&gt;"&amp;H416)+COUNTIFS($H$2:H416,H416)</x:f>
        <x:v>564</x:v>
      </x:c>
      <x:c r="K416" s="1"/>
      <x:c r="L416" s="1"/>
    </x:row>
    <x:row r="417" ht="22" customHeight="1">
      <x:c r="A417" s="8" t="n">
        <x:v>1174</x:v>
      </x:c>
      <x:c r="B417" s="6" t="n">
        <x:v>45059</x:v>
      </x:c>
      <x:c r="C417" s="2" t="str">
        <x:v>Товары для дома</x:v>
      </x:c>
      <x:c r="D417" s="2" t="str">
        <x:v>Подушка</x:v>
      </x:c>
      <x:c r="E417" s="7" t="n">
        <x:v>21831.92</x:v>
      </x:c>
      <x:c r="F417" s="9" t="n">
        <x:v>4</x:v>
      </x:c>
      <x:c r="G417" s="2" t="str">
        <x:v>Москва</x:v>
      </x:c>
      <x:c r="H417" s="7" t="n">
        <x:f>E417*F417</x:f>
        <x:v>87327.68</x:v>
      </x:c>
      <x:c r="I417" s="2" t="str">
        <x:f>TEXT(B417,"yyyy-mm")</x:f>
        <x:v>2023-05</x:v>
      </x:c>
      <x:c r="J417" s="8" t="n">
        <x:f>COUNTIFS($H$2:$H$1201,"&gt;"&amp;H417)+COUNTIFS($H$2:H417,H417)</x:f>
        <x:v>1000</x:v>
      </x:c>
      <x:c r="K417" s="1"/>
      <x:c r="L417" s="1"/>
    </x:row>
    <x:row r="418" ht="22" customHeight="1">
      <x:c r="A418" s="8" t="n">
        <x:v>8</x:v>
      </x:c>
      <x:c r="B418" s="6" t="n">
        <x:v>45060</x:v>
      </x:c>
      <x:c r="C418" s="2" t="str">
        <x:v>Одежда</x:v>
      </x:c>
      <x:c r="D418" s="2" t="str">
        <x:v>Футболка</x:v>
      </x:c>
      <x:c r="E418" s="7" t="n">
        <x:v>117854.12</x:v>
      </x:c>
      <x:c r="F418" s="9" t="n">
        <x:v>8</x:v>
      </x:c>
      <x:c r="G418" s="2" t="str">
        <x:v>Казань</x:v>
      </x:c>
      <x:c r="H418" s="7" t="n">
        <x:f>E418*F418</x:f>
        <x:v>942832.96</x:v>
      </x:c>
      <x:c r="I418" s="2" t="str">
        <x:f>TEXT(B418,"yyyy-mm")</x:f>
        <x:v>2023-05</x:v>
      </x:c>
      <x:c r="J418" s="8" t="n">
        <x:f>COUNTIFS($H$2:$H$1201,"&gt;"&amp;H418)+COUNTIFS($H$2:H418,H418)</x:f>
        <x:v>113</x:v>
      </x:c>
      <x:c r="K418" s="1"/>
      <x:c r="L418" s="1"/>
    </x:row>
    <x:row r="419" ht="22" customHeight="1">
      <x:c r="A419" s="8" t="n">
        <x:v>119</x:v>
      </x:c>
      <x:c r="B419" s="6" t="n">
        <x:v>45060</x:v>
      </x:c>
      <x:c r="C419" s="2" t="str">
        <x:v>Одежда</x:v>
      </x:c>
      <x:c r="D419" s="2" t="str">
        <x:v>Кроссовки</x:v>
      </x:c>
      <x:c r="E419" s="7" t="n">
        <x:v>124742.66</x:v>
      </x:c>
      <x:c r="F419" s="9" t="n">
        <x:v>8</x:v>
      </x:c>
      <x:c r="G419" s="2" t="str">
        <x:v>Екатеринбург</x:v>
      </x:c>
      <x:c r="H419" s="7" t="n">
        <x:f>E419*F419</x:f>
        <x:v>997941.28</x:v>
      </x:c>
      <x:c r="I419" s="2" t="str">
        <x:f>TEXT(B419,"yyyy-mm")</x:f>
        <x:v>2023-05</x:v>
      </x:c>
      <x:c r="J419" s="8" t="n">
        <x:f>COUNTIFS($H$2:$H$1201,"&gt;"&amp;H419)+COUNTIFS($H$2:H419,H419)</x:f>
        <x:v>91</x:v>
      </x:c>
      <x:c r="K419" s="1"/>
      <x:c r="L419" s="1"/>
    </x:row>
    <x:row r="420" ht="22" customHeight="1">
      <x:c r="A420" s="8" t="n">
        <x:v>748</x:v>
      </x:c>
      <x:c r="B420" s="6" t="n">
        <x:v>45060</x:v>
      </x:c>
      <x:c r="C420" s="2" t="str">
        <x:v>Продукты</x:v>
      </x:c>
      <x:c r="D420" s="2" t="str">
        <x:v>Шоколад</x:v>
      </x:c>
      <x:c r="E420" s="7" t="n">
        <x:v>36224.47</x:v>
      </x:c>
      <x:c r="F420" s="9" t="n">
        <x:v>5</x:v>
      </x:c>
      <x:c r="G420" s="2" t="str">
        <x:v>Новосибирск</x:v>
      </x:c>
      <x:c r="H420" s="7" t="n">
        <x:f>E420*F420</x:f>
        <x:v>181122.35</x:v>
      </x:c>
      <x:c r="I420" s="2" t="str">
        <x:f>TEXT(B420,"yyyy-mm")</x:f>
        <x:v>2023-05</x:v>
      </x:c>
      <x:c r="J420" s="8" t="n">
        <x:f>COUNTIFS($H$2:$H$1201,"&gt;"&amp;H420)+COUNTIFS($H$2:H420,H420)</x:f>
        <x:v>812</x:v>
      </x:c>
      <x:c r="K420" s="1"/>
      <x:c r="L420" s="1"/>
    </x:row>
    <x:row r="421" ht="22" customHeight="1">
      <x:c r="A421" s="8" t="n">
        <x:v>1148</x:v>
      </x:c>
      <x:c r="B421" s="6" t="n">
        <x:v>45060</x:v>
      </x:c>
      <x:c r="C421" s="2" t="str">
        <x:v>Товары для дома</x:v>
      </x:c>
      <x:c r="D421" s="2" t="str">
        <x:v>Подушка</x:v>
      </x:c>
      <x:c r="E421" s="7" t="n">
        <x:v>70993.89</x:v>
      </x:c>
      <x:c r="F421" s="9" t="n">
        <x:v>3</x:v>
      </x:c>
      <x:c r="G421" s="2" t="str">
        <x:v>Москва</x:v>
      </x:c>
      <x:c r="H421" s="7" t="n">
        <x:f>E421*F421</x:f>
        <x:v>212981.66999999998</x:v>
      </x:c>
      <x:c r="I421" s="2" t="str">
        <x:f>TEXT(B421,"yyyy-mm")</x:f>
        <x:v>2023-05</x:v>
      </x:c>
      <x:c r="J421" s="8" t="n">
        <x:f>COUNTIFS($H$2:$H$1201,"&gt;"&amp;H421)+COUNTIFS($H$2:H421,H421)</x:f>
        <x:v>771</x:v>
      </x:c>
      <x:c r="K421" s="1"/>
      <x:c r="L421" s="1"/>
    </x:row>
    <x:row r="422" ht="22" customHeight="1">
      <x:c r="A422" s="8" t="n">
        <x:v>217</x:v>
      </x:c>
      <x:c r="B422" s="6" t="n">
        <x:v>45061</x:v>
      </x:c>
      <x:c r="C422" s="2" t="str">
        <x:v>Товары для дома</x:v>
      </x:c>
      <x:c r="D422" s="2" t="str">
        <x:v>Полотенце</x:v>
      </x:c>
      <x:c r="E422" s="7" t="n">
        <x:v>130024.14</x:v>
      </x:c>
      <x:c r="F422" s="9" t="n">
        <x:v>1</x:v>
      </x:c>
      <x:c r="G422" s="2" t="str">
        <x:v>Санкт‑Петербург</x:v>
      </x:c>
      <x:c r="H422" s="7" t="n">
        <x:f>E422*F422</x:f>
        <x:v>130024.14</x:v>
      </x:c>
      <x:c r="I422" s="2" t="str">
        <x:f>TEXT(B422,"yyyy-mm")</x:f>
        <x:v>2023-05</x:v>
      </x:c>
      <x:c r="J422" s="8" t="n">
        <x:f>COUNTIFS($H$2:$H$1201,"&gt;"&amp;H422)+COUNTIFS($H$2:H422,H422)</x:f>
        <x:v>903</x:v>
      </x:c>
      <x:c r="K422" s="1"/>
      <x:c r="L422" s="1"/>
    </x:row>
    <x:row r="423" ht="22" customHeight="1">
      <x:c r="A423" s="8" t="n">
        <x:v>319</x:v>
      </x:c>
      <x:c r="B423" s="6" t="n">
        <x:v>45061</x:v>
      </x:c>
      <x:c r="C423" s="2" t="str">
        <x:v>Товары для дома</x:v>
      </x:c>
      <x:c r="D423" s="2" t="str">
        <x:v>Подушка</x:v>
      </x:c>
      <x:c r="E423" s="7" t="n">
        <x:v>130964.07</x:v>
      </x:c>
      <x:c r="F423" s="9" t="n">
        <x:v>7</x:v>
      </x:c>
      <x:c r="G423" s="2" t="str">
        <x:v>Москва</x:v>
      </x:c>
      <x:c r="H423" s="7" t="n">
        <x:f>E423*F423</x:f>
        <x:v>916748.49</x:v>
      </x:c>
      <x:c r="I423" s="2" t="str">
        <x:f>TEXT(B423,"yyyy-mm")</x:f>
        <x:v>2023-05</x:v>
      </x:c>
      <x:c r="J423" s="8" t="n">
        <x:f>COUNTIFS($H$2:$H$1201,"&gt;"&amp;H423)+COUNTIFS($H$2:H423,H423)</x:f>
        <x:v>127</x:v>
      </x:c>
      <x:c r="K423" s="1"/>
      <x:c r="L423" s="1"/>
    </x:row>
    <x:row r="424" ht="22" customHeight="1">
      <x:c r="A424" s="8" t="n">
        <x:v>131</x:v>
      </x:c>
      <x:c r="B424" s="6" t="n">
        <x:v>45062</x:v>
      </x:c>
      <x:c r="C424" s="2" t="str">
        <x:v>Продукты</x:v>
      </x:c>
      <x:c r="D424" s="2" t="str">
        <x:v>Шоколад</x:v>
      </x:c>
      <x:c r="E424" s="7" t="n">
        <x:v>137592.12</x:v>
      </x:c>
      <x:c r="F424" s="9" t="n">
        <x:v>2</x:v>
      </x:c>
      <x:c r="G424" s="2" t="str">
        <x:v>Московская область</x:v>
      </x:c>
      <x:c r="H424" s="7" t="n">
        <x:f>E424*F424</x:f>
        <x:v>275184.24</x:v>
      </x:c>
      <x:c r="I424" s="2" t="str">
        <x:f>TEXT(B424,"yyyy-mm")</x:f>
        <x:v>2023-05</x:v>
      </x:c>
      <x:c r="J424" s="8" t="n">
        <x:f>COUNTIFS($H$2:$H$1201,"&gt;"&amp;H424)+COUNTIFS($H$2:H424,H424)</x:f>
        <x:v>663</x:v>
      </x:c>
      <x:c r="K424" s="1"/>
      <x:c r="L424" s="1"/>
    </x:row>
    <x:row r="425" ht="22" customHeight="1">
      <x:c r="A425" s="8" t="n">
        <x:v>148</x:v>
      </x:c>
      <x:c r="B425" s="6" t="n">
        <x:v>45062</x:v>
      </x:c>
      <x:c r="C425" s="2" t="str">
        <x:v>Товары для дома</x:v>
      </x:c>
      <x:c r="D425" s="2" t="str">
        <x:v>Подушка</x:v>
      </x:c>
      <x:c r="E425" s="7" t="n">
        <x:v>131643.23</x:v>
      </x:c>
      <x:c r="F425" s="9" t="n">
        <x:v>2</x:v>
      </x:c>
      <x:c r="G425" s="2" t="str">
        <x:v>Санкт‑Петербург</x:v>
      </x:c>
      <x:c r="H425" s="7" t="n">
        <x:f>E425*F425</x:f>
        <x:v>263286.46</x:v>
      </x:c>
      <x:c r="I425" s="2" t="str">
        <x:f>TEXT(B425,"yyyy-mm")</x:f>
        <x:v>2023-05</x:v>
      </x:c>
      <x:c r="J425" s="8" t="n">
        <x:f>COUNTIFS($H$2:$H$1201,"&gt;"&amp;H425)+COUNTIFS($H$2:H425,H425)</x:f>
        <x:v>681</x:v>
      </x:c>
      <x:c r="K425" s="1"/>
      <x:c r="L425" s="1"/>
    </x:row>
    <x:row r="426" ht="22" customHeight="1">
      <x:c r="A426" s="8" t="n">
        <x:v>71</x:v>
      </x:c>
      <x:c r="B426" s="6" t="n">
        <x:v>45063</x:v>
      </x:c>
      <x:c r="C426" s="2" t="str">
        <x:v>Товары для дома</x:v>
      </x:c>
      <x:c r="D426" s="2" t="str">
        <x:v>Подушка</x:v>
      </x:c>
      <x:c r="E426" s="7" t="n">
        <x:v>54038.5</x:v>
      </x:c>
      <x:c r="F426" s="9" t="n">
        <x:v>8</x:v>
      </x:c>
      <x:c r="G426" s="2" t="str">
        <x:v>Санкт‑Петербург</x:v>
      </x:c>
      <x:c r="H426" s="7" t="n">
        <x:f>E426*F426</x:f>
        <x:v>432308</x:v>
      </x:c>
      <x:c r="I426" s="2" t="str">
        <x:f>TEXT(B426,"yyyy-mm")</x:f>
        <x:v>2023-05</x:v>
      </x:c>
      <x:c r="J426" s="8" t="n">
        <x:f>COUNTIFS($H$2:$H$1201,"&gt;"&amp;H426)+COUNTIFS($H$2:H426,H426)</x:f>
        <x:v>478</x:v>
      </x:c>
      <x:c r="K426" s="1"/>
      <x:c r="L426" s="1"/>
    </x:row>
    <x:row r="427" ht="22" customHeight="1">
      <x:c r="A427" s="8" t="n">
        <x:v>241</x:v>
      </x:c>
      <x:c r="B427" s="6" t="n">
        <x:v>45063</x:v>
      </x:c>
      <x:c r="C427" s="2" t="str">
        <x:v>Электроника</x:v>
      </x:c>
      <x:c r="D427" s="2" t="str">
        <x:v>Наушники</x:v>
      </x:c>
      <x:c r="E427" s="7" t="n">
        <x:v>29511.32</x:v>
      </x:c>
      <x:c r="F427" s="9" t="n">
        <x:v>10</x:v>
      </x:c>
      <x:c r="G427" s="2" t="str">
        <x:v>Санкт‑Петербург</x:v>
      </x:c>
      <x:c r="H427" s="7" t="n">
        <x:f>E427*F427</x:f>
        <x:v>295113.2</x:v>
      </x:c>
      <x:c r="I427" s="2" t="str">
        <x:f>TEXT(B427,"yyyy-mm")</x:f>
        <x:v>2023-05</x:v>
      </x:c>
      <x:c r="J427" s="8" t="n">
        <x:f>COUNTIFS($H$2:$H$1201,"&gt;"&amp;H427)+COUNTIFS($H$2:H427,H427)</x:f>
        <x:v>638</x:v>
      </x:c>
      <x:c r="K427" s="1"/>
      <x:c r="L427" s="1"/>
    </x:row>
    <x:row r="428" ht="22" customHeight="1">
      <x:c r="A428" s="8" t="n">
        <x:v>914</x:v>
      </x:c>
      <x:c r="B428" s="6" t="n">
        <x:v>45063</x:v>
      </x:c>
      <x:c r="C428" s="2" t="str">
        <x:v>Товары для дома</x:v>
      </x:c>
      <x:c r="D428" s="2" t="str">
        <x:v>Плед</x:v>
      </x:c>
      <x:c r="E428" s="7" t="n">
        <x:v>6230.85</x:v>
      </x:c>
      <x:c r="F428" s="9" t="n">
        <x:v>3</x:v>
      </x:c>
      <x:c r="G428" s="2" t="str">
        <x:v>Санкт‑Петербург</x:v>
      </x:c>
      <x:c r="H428" s="7" t="n">
        <x:f>E428*F428</x:f>
        <x:v>18692.550000000003</x:v>
      </x:c>
      <x:c r="I428" s="2" t="str">
        <x:f>TEXT(B428,"yyyy-mm")</x:f>
        <x:v>2023-05</x:v>
      </x:c>
      <x:c r="J428" s="8" t="n">
        <x:f>COUNTIFS($H$2:$H$1201,"&gt;"&amp;H428)+COUNTIFS($H$2:H428,H428)</x:f>
        <x:v>1156</x:v>
      </x:c>
      <x:c r="K428" s="1"/>
      <x:c r="L428" s="1"/>
    </x:row>
    <x:row r="429" ht="22" customHeight="1">
      <x:c r="A429" s="8" t="n">
        <x:v>997</x:v>
      </x:c>
      <x:c r="B429" s="6" t="n">
        <x:v>45063</x:v>
      </x:c>
      <x:c r="C429" s="2" t="str">
        <x:v>Продукты</x:v>
      </x:c>
      <x:c r="D429" s="2" t="str">
        <x:v>Молоко</x:v>
      </x:c>
      <x:c r="E429" s="7" t="n">
        <x:v>96224.17</x:v>
      </x:c>
      <x:c r="F429" s="9" t="n">
        <x:v>1</x:v>
      </x:c>
      <x:c r="G429" s="2" t="str">
        <x:v>Екатеринбург</x:v>
      </x:c>
      <x:c r="H429" s="7" t="n">
        <x:f>E429*F429</x:f>
        <x:v>96224.17</x:v>
      </x:c>
      <x:c r="I429" s="2" t="str">
        <x:f>TEXT(B429,"yyyy-mm")</x:f>
        <x:v>2023-05</x:v>
      </x:c>
      <x:c r="J429" s="8" t="n">
        <x:f>COUNTIFS($H$2:$H$1201,"&gt;"&amp;H429)+COUNTIFS($H$2:H429,H429)</x:f>
        <x:v>976</x:v>
      </x:c>
      <x:c r="K429" s="1"/>
      <x:c r="L429" s="1"/>
    </x:row>
    <x:row r="430" ht="22" customHeight="1">
      <x:c r="A430" s="8" t="n">
        <x:v>520</x:v>
      </x:c>
      <x:c r="B430" s="6" t="n">
        <x:v>45064</x:v>
      </x:c>
      <x:c r="C430" s="2" t="str">
        <x:v>Продукты</x:v>
      </x:c>
      <x:c r="D430" s="2" t="str">
        <x:v>Кофе</x:v>
      </x:c>
      <x:c r="E430" s="7" t="n">
        <x:v>144018.69</x:v>
      </x:c>
      <x:c r="F430" s="9" t="n">
        <x:v>8</x:v>
      </x:c>
      <x:c r="G430" s="2" t="str">
        <x:v>Москва</x:v>
      </x:c>
      <x:c r="H430" s="7" t="n">
        <x:f>E430*F430</x:f>
        <x:v>1152149.52</x:v>
      </x:c>
      <x:c r="I430" s="2" t="str">
        <x:f>TEXT(B430,"yyyy-mm")</x:f>
        <x:v>2023-05</x:v>
      </x:c>
      <x:c r="J430" s="8" t="n">
        <x:f>COUNTIFS($H$2:$H$1201,"&gt;"&amp;H430)+COUNTIFS($H$2:H430,H430)</x:f>
        <x:v>44</x:v>
      </x:c>
      <x:c r="K430" s="1"/>
      <x:c r="L430" s="1"/>
    </x:row>
    <x:row r="431" ht="22" customHeight="1">
      <x:c r="A431" s="8" t="n">
        <x:v>774</x:v>
      </x:c>
      <x:c r="B431" s="6" t="n">
        <x:v>45065</x:v>
      </x:c>
      <x:c r="C431" s="2" t="str">
        <x:v>Продукты</x:v>
      </x:c>
      <x:c r="D431" s="2" t="str">
        <x:v>Хлеб</x:v>
      </x:c>
      <x:c r="E431" s="7" t="n">
        <x:v>132186.31</x:v>
      </x:c>
      <x:c r="F431" s="9" t="n">
        <x:v>9</x:v>
      </x:c>
      <x:c r="G431" s="2" t="str">
        <x:v>Москва</x:v>
      </x:c>
      <x:c r="H431" s="7" t="n">
        <x:f>E431*F431</x:f>
        <x:v>1189676.79</x:v>
      </x:c>
      <x:c r="I431" s="2" t="str">
        <x:f>TEXT(B431,"yyyy-mm")</x:f>
        <x:v>2023-05</x:v>
      </x:c>
      <x:c r="J431" s="8" t="n">
        <x:f>COUNTIFS($H$2:$H$1201,"&gt;"&amp;H431)+COUNTIFS($H$2:H431,H431)</x:f>
        <x:v>35</x:v>
      </x:c>
      <x:c r="K431" s="1"/>
      <x:c r="L431" s="1"/>
    </x:row>
    <x:row r="432" ht="22" customHeight="1">
      <x:c r="A432" s="8" t="n">
        <x:v>994</x:v>
      </x:c>
      <x:c r="B432" s="6" t="n">
        <x:v>45065</x:v>
      </x:c>
      <x:c r="C432" s="2" t="str">
        <x:v>Продукты</x:v>
      </x:c>
      <x:c r="D432" s="2" t="str">
        <x:v>Хлеб</x:v>
      </x:c>
      <x:c r="E432" s="7" t="n">
        <x:v>42782.52</x:v>
      </x:c>
      <x:c r="F432" s="9" t="n">
        <x:v>6</x:v>
      </x:c>
      <x:c r="G432" s="2" t="str">
        <x:v>Московская область</x:v>
      </x:c>
      <x:c r="H432" s="7" t="n">
        <x:f>E432*F432</x:f>
        <x:v>256695.12</x:v>
      </x:c>
      <x:c r="I432" s="2" t="str">
        <x:f>TEXT(B432,"yyyy-mm")</x:f>
        <x:v>2023-05</x:v>
      </x:c>
      <x:c r="J432" s="8" t="n">
        <x:f>COUNTIFS($H$2:$H$1201,"&gt;"&amp;H432)+COUNTIFS($H$2:H432,H432)</x:f>
        <x:v>690</x:v>
      </x:c>
      <x:c r="K432" s="1"/>
      <x:c r="L432" s="1"/>
    </x:row>
    <x:row r="433" ht="22" customHeight="1">
      <x:c r="A433" s="8" t="n">
        <x:v>1055</x:v>
      </x:c>
      <x:c r="B433" s="6" t="n">
        <x:v>45065</x:v>
      </x:c>
      <x:c r="C433" s="2" t="str">
        <x:v>Товары для дома</x:v>
      </x:c>
      <x:c r="D433" s="2" t="str">
        <x:v>Кружка</x:v>
      </x:c>
      <x:c r="E433" s="7" t="n">
        <x:v>58475.6</x:v>
      </x:c>
      <x:c r="F433" s="9" t="n">
        <x:v>3</x:v>
      </x:c>
      <x:c r="G433" s="2" t="str">
        <x:v>Новосибирск</x:v>
      </x:c>
      <x:c r="H433" s="7" t="n">
        <x:f>E433*F433</x:f>
        <x:v>175426.8</x:v>
      </x:c>
      <x:c r="I433" s="2" t="str">
        <x:f>TEXT(B433,"yyyy-mm")</x:f>
        <x:v>2023-05</x:v>
      </x:c>
      <x:c r="J433" s="8" t="n">
        <x:f>COUNTIFS($H$2:$H$1201,"&gt;"&amp;H433)+COUNTIFS($H$2:H433,H433)</x:f>
        <x:v>819</x:v>
      </x:c>
      <x:c r="K433" s="1"/>
      <x:c r="L433" s="1"/>
    </x:row>
    <x:row r="434" ht="22" customHeight="1">
      <x:c r="A434" s="8" t="n">
        <x:v>324</x:v>
      </x:c>
      <x:c r="B434" s="6" t="n">
        <x:v>45066</x:v>
      </x:c>
      <x:c r="C434" s="2" t="str">
        <x:v>Товары для дома</x:v>
      </x:c>
      <x:c r="D434" s="2" t="str">
        <x:v>Полотенце</x:v>
      </x:c>
      <x:c r="E434" s="7" t="n">
        <x:v>17395.19</x:v>
      </x:c>
      <x:c r="F434" s="9" t="n">
        <x:v>2</x:v>
      </x:c>
      <x:c r="G434" s="2" t="str">
        <x:v>Санкт‑Петербург</x:v>
      </x:c>
      <x:c r="H434" s="7" t="n">
        <x:f>E434*F434</x:f>
        <x:v>34790.38</x:v>
      </x:c>
      <x:c r="I434" s="2" t="str">
        <x:f>TEXT(B434,"yyyy-mm")</x:f>
        <x:v>2023-05</x:v>
      </x:c>
      <x:c r="J434" s="8" t="n">
        <x:f>COUNTIFS($H$2:$H$1201,"&gt;"&amp;H434)+COUNTIFS($H$2:H434,H434)</x:f>
        <x:v>1113</x:v>
      </x:c>
      <x:c r="K434" s="1"/>
      <x:c r="L434" s="1"/>
    </x:row>
    <x:row r="435" ht="22" customHeight="1">
      <x:c r="A435" s="8" t="n">
        <x:v>468</x:v>
      </x:c>
      <x:c r="B435" s="6" t="n">
        <x:v>45066</x:v>
      </x:c>
      <x:c r="C435" s="2" t="str">
        <x:v>Электроника</x:v>
      </x:c>
      <x:c r="D435" s="2" t="str">
        <x:v>Наушники</x:v>
      </x:c>
      <x:c r="E435" s="7" t="n">
        <x:v>129782.38</x:v>
      </x:c>
      <x:c r="F435" s="9" t="n">
        <x:v>6</x:v>
      </x:c>
      <x:c r="G435" s="2" t="str">
        <x:v>Москва</x:v>
      </x:c>
      <x:c r="H435" s="7" t="n">
        <x:f>E435*F435</x:f>
        <x:v>778694.28</x:v>
      </x:c>
      <x:c r="I435" s="2" t="str">
        <x:f>TEXT(B435,"yyyy-mm")</x:f>
        <x:v>2023-05</x:v>
      </x:c>
      <x:c r="J435" s="8" t="n">
        <x:f>COUNTIFS($H$2:$H$1201,"&gt;"&amp;H435)+COUNTIFS($H$2:H435,H435)</x:f>
        <x:v>206</x:v>
      </x:c>
      <x:c r="K435" s="1"/>
      <x:c r="L435" s="1"/>
    </x:row>
    <x:row r="436" ht="22" customHeight="1">
      <x:c r="A436" s="8" t="n">
        <x:v>813</x:v>
      </x:c>
      <x:c r="B436" s="6" t="n">
        <x:v>45066</x:v>
      </x:c>
      <x:c r="C436" s="2" t="str">
        <x:v>Продукты</x:v>
      </x:c>
      <x:c r="D436" s="2" t="str">
        <x:v>Кофе</x:v>
      </x:c>
      <x:c r="E436" s="7" t="n">
        <x:v>116193.5</x:v>
      </x:c>
      <x:c r="F436" s="9" t="n">
        <x:v>2</x:v>
      </x:c>
      <x:c r="G436" s="2" t="str">
        <x:v>Новосибирск</x:v>
      </x:c>
      <x:c r="H436" s="7" t="n">
        <x:f>E436*F436</x:f>
        <x:v>232387</x:v>
      </x:c>
      <x:c r="I436" s="2" t="str">
        <x:f>TEXT(B436,"yyyy-mm")</x:f>
        <x:v>2023-05</x:v>
      </x:c>
      <x:c r="J436" s="8" t="n">
        <x:f>COUNTIFS($H$2:$H$1201,"&gt;"&amp;H436)+COUNTIFS($H$2:H436,H436)</x:f>
        <x:v>736</x:v>
      </x:c>
      <x:c r="K436" s="1"/>
      <x:c r="L436" s="1"/>
    </x:row>
    <x:row r="437" ht="22" customHeight="1">
      <x:c r="A437" s="8" t="n">
        <x:v>741</x:v>
      </x:c>
      <x:c r="B437" s="6" t="n">
        <x:v>45067</x:v>
      </x:c>
      <x:c r="C437" s="2" t="str">
        <x:v>Товары для дома</x:v>
      </x:c>
      <x:c r="D437" s="2" t="str">
        <x:v>Полотенце</x:v>
      </x:c>
      <x:c r="E437" s="7" t="n">
        <x:v>36553.05</x:v>
      </x:c>
      <x:c r="F437" s="9" t="n">
        <x:v>5</x:v>
      </x:c>
      <x:c r="G437" s="2" t="str">
        <x:v>Казань</x:v>
      </x:c>
      <x:c r="H437" s="7" t="n">
        <x:f>E437*F437</x:f>
        <x:v>182765.25</x:v>
      </x:c>
      <x:c r="I437" s="2" t="str">
        <x:f>TEXT(B437,"yyyy-mm")</x:f>
        <x:v>2023-05</x:v>
      </x:c>
      <x:c r="J437" s="8" t="n">
        <x:f>COUNTIFS($H$2:$H$1201,"&gt;"&amp;H437)+COUNTIFS($H$2:H437,H437)</x:f>
        <x:v>811</x:v>
      </x:c>
      <x:c r="K437" s="1"/>
      <x:c r="L437" s="1"/>
    </x:row>
    <x:row r="438" ht="22" customHeight="1">
      <x:c r="A438" s="8" t="n">
        <x:v>975</x:v>
      </x:c>
      <x:c r="B438" s="6" t="n">
        <x:v>45067</x:v>
      </x:c>
      <x:c r="C438" s="2" t="str">
        <x:v>Товары для дома</x:v>
      </x:c>
      <x:c r="D438" s="2" t="str">
        <x:v>Кружка</x:v>
      </x:c>
      <x:c r="E438" s="7" t="n">
        <x:v>28226.13</x:v>
      </x:c>
      <x:c r="F438" s="9" t="n">
        <x:v>1</x:v>
      </x:c>
      <x:c r="G438" s="2" t="str">
        <x:v>Москва</x:v>
      </x:c>
      <x:c r="H438" s="7" t="n">
        <x:f>E438*F438</x:f>
        <x:v>28226.13</x:v>
      </x:c>
      <x:c r="I438" s="2" t="str">
        <x:f>TEXT(B438,"yyyy-mm")</x:f>
        <x:v>2023-05</x:v>
      </x:c>
      <x:c r="J438" s="8" t="n">
        <x:f>COUNTIFS($H$2:$H$1201,"&gt;"&amp;H438)+COUNTIFS($H$2:H438,H438)</x:f>
        <x:v>1134</x:v>
      </x:c>
      <x:c r="K438" s="1"/>
      <x:c r="L438" s="1"/>
    </x:row>
    <x:row r="439" ht="22" customHeight="1">
      <x:c r="A439" s="8" t="n">
        <x:v>1039</x:v>
      </x:c>
      <x:c r="B439" s="6" t="n">
        <x:v>45067</x:v>
      </x:c>
      <x:c r="C439" s="2" t="str">
        <x:v>Одежда</x:v>
      </x:c>
      <x:c r="D439" s="2" t="str">
        <x:v>Куртка</x:v>
      </x:c>
      <x:c r="E439" s="7" t="n">
        <x:v>98816.16</x:v>
      </x:c>
      <x:c r="F439" s="9" t="n">
        <x:v>7</x:v>
      </x:c>
      <x:c r="G439" s="2" t="str">
        <x:v>Москва</x:v>
      </x:c>
      <x:c r="H439" s="7" t="n">
        <x:f>E439*F439</x:f>
        <x:v>691713.12</x:v>
      </x:c>
      <x:c r="I439" s="2" t="str">
        <x:f>TEXT(B439,"yyyy-mm")</x:f>
        <x:v>2023-05</x:v>
      </x:c>
      <x:c r="J439" s="8" t="n">
        <x:f>COUNTIFS($H$2:$H$1201,"&gt;"&amp;H439)+COUNTIFS($H$2:H439,H439)</x:f>
        <x:v>270</x:v>
      </x:c>
      <x:c r="K439" s="1"/>
      <x:c r="L439" s="1"/>
    </x:row>
    <x:row r="440" ht="22" customHeight="1">
      <x:c r="A440" s="8" t="n">
        <x:v>80</x:v>
      </x:c>
      <x:c r="B440" s="6" t="n">
        <x:v>45068</x:v>
      </x:c>
      <x:c r="C440" s="2" t="str">
        <x:v>Товары для дома</x:v>
      </x:c>
      <x:c r="D440" s="2" t="str">
        <x:v>Полотенце</x:v>
      </x:c>
      <x:c r="E440" s="7" t="n">
        <x:v>72015.03</x:v>
      </x:c>
      <x:c r="F440" s="9" t="n">
        <x:v>8</x:v>
      </x:c>
      <x:c r="G440" s="2" t="str">
        <x:v>Санкт‑Петербург</x:v>
      </x:c>
      <x:c r="H440" s="7" t="n">
        <x:f>E440*F440</x:f>
        <x:v>576120.24</x:v>
      </x:c>
      <x:c r="I440" s="2" t="str">
        <x:f>TEXT(B440,"yyyy-mm")</x:f>
        <x:v>2023-05</x:v>
      </x:c>
      <x:c r="J440" s="8" t="n">
        <x:f>COUNTIFS($H$2:$H$1201,"&gt;"&amp;H440)+COUNTIFS($H$2:H440,H440)</x:f>
        <x:v>337</x:v>
      </x:c>
      <x:c r="K440" s="1"/>
      <x:c r="L440" s="1"/>
    </x:row>
    <x:row r="441" ht="22" customHeight="1">
      <x:c r="A441" s="8" t="n">
        <x:v>453</x:v>
      </x:c>
      <x:c r="B441" s="6" t="n">
        <x:v>45068</x:v>
      </x:c>
      <x:c r="C441" s="2" t="str">
        <x:v>Продукты</x:v>
      </x:c>
      <x:c r="D441" s="2" t="str">
        <x:v>Молоко</x:v>
      </x:c>
      <x:c r="E441" s="7" t="n">
        <x:v>3679.58</x:v>
      </x:c>
      <x:c r="F441" s="9" t="n">
        <x:v>7</x:v>
      </x:c>
      <x:c r="G441" s="2" t="str">
        <x:v>Московская область</x:v>
      </x:c>
      <x:c r="H441" s="7" t="n">
        <x:f>E441*F441</x:f>
        <x:v>25757.059999999998</x:v>
      </x:c>
      <x:c r="I441" s="2" t="str">
        <x:f>TEXT(B441,"yyyy-mm")</x:f>
        <x:v>2023-05</x:v>
      </x:c>
      <x:c r="J441" s="8" t="n">
        <x:f>COUNTIFS($H$2:$H$1201,"&gt;"&amp;H441)+COUNTIFS($H$2:H441,H441)</x:f>
        <x:v>1139</x:v>
      </x:c>
      <x:c r="K441" s="1"/>
      <x:c r="L441" s="1"/>
    </x:row>
    <x:row r="442" ht="22" customHeight="1">
      <x:c r="A442" s="8" t="n">
        <x:v>549</x:v>
      </x:c>
      <x:c r="B442" s="6" t="n">
        <x:v>45068</x:v>
      </x:c>
      <x:c r="C442" s="2" t="str">
        <x:v>Продукты</x:v>
      </x:c>
      <x:c r="D442" s="2" t="str">
        <x:v>Хлеб</x:v>
      </x:c>
      <x:c r="E442" s="7" t="n">
        <x:v>54192.58</x:v>
      </x:c>
      <x:c r="F442" s="9" t="n">
        <x:v>9</x:v>
      </x:c>
      <x:c r="G442" s="2" t="str">
        <x:v>Московская область</x:v>
      </x:c>
      <x:c r="H442" s="7" t="n">
        <x:f>E442*F442</x:f>
        <x:v>487733.22000000003</x:v>
      </x:c>
      <x:c r="I442" s="2" t="str">
        <x:f>TEXT(B442,"yyyy-mm")</x:f>
        <x:v>2023-05</x:v>
      </x:c>
      <x:c r="J442" s="8" t="n">
        <x:f>COUNTIFS($H$2:$H$1201,"&gt;"&amp;H442)+COUNTIFS($H$2:H442,H442)</x:f>
        <x:v>423</x:v>
      </x:c>
      <x:c r="K442" s="1"/>
      <x:c r="L442" s="1"/>
    </x:row>
    <x:row r="443" ht="22" customHeight="1">
      <x:c r="A443" s="8" t="n">
        <x:v>646</x:v>
      </x:c>
      <x:c r="B443" s="6" t="n">
        <x:v>45068</x:v>
      </x:c>
      <x:c r="C443" s="2" t="str">
        <x:v>Электроника</x:v>
      </x:c>
      <x:c r="D443" s="2" t="str">
        <x:v>Ноутбук</x:v>
      </x:c>
      <x:c r="E443" s="7" t="n">
        <x:v>69877.65</x:v>
      </x:c>
      <x:c r="F443" s="9" t="n">
        <x:v>6</x:v>
      </x:c>
      <x:c r="G443" s="2" t="str">
        <x:v>Санкт‑Петербург</x:v>
      </x:c>
      <x:c r="H443" s="7" t="n">
        <x:f>E443*F443</x:f>
        <x:v>419265.89999999997</x:v>
      </x:c>
      <x:c r="I443" s="2" t="str">
        <x:f>TEXT(B443,"yyyy-mm")</x:f>
        <x:v>2023-05</x:v>
      </x:c>
      <x:c r="J443" s="8" t="n">
        <x:f>COUNTIFS($H$2:$H$1201,"&gt;"&amp;H443)+COUNTIFS($H$2:H443,H443)</x:f>
        <x:v>496</x:v>
      </x:c>
      <x:c r="K443" s="1"/>
      <x:c r="L443" s="1"/>
    </x:row>
    <x:row r="444" ht="22" customHeight="1">
      <x:c r="A444" s="8" t="n">
        <x:v>923</x:v>
      </x:c>
      <x:c r="B444" s="6" t="n">
        <x:v>45068</x:v>
      </x:c>
      <x:c r="C444" s="2" t="str">
        <x:v>Продукты</x:v>
      </x:c>
      <x:c r="D444" s="2" t="str">
        <x:v>Кофе</x:v>
      </x:c>
      <x:c r="E444" s="7" t="n">
        <x:v>65315.54</x:v>
      </x:c>
      <x:c r="F444" s="9" t="n">
        <x:v>3</x:v>
      </x:c>
      <x:c r="G444" s="2" t="str">
        <x:v>Казань</x:v>
      </x:c>
      <x:c r="H444" s="7" t="n">
        <x:f>E444*F444</x:f>
        <x:v>195946.62</x:v>
      </x:c>
      <x:c r="I444" s="2" t="str">
        <x:f>TEXT(B444,"yyyy-mm")</x:f>
        <x:v>2023-05</x:v>
      </x:c>
      <x:c r="J444" s="8" t="n">
        <x:f>COUNTIFS($H$2:$H$1201,"&gt;"&amp;H444)+COUNTIFS($H$2:H444,H444)</x:f>
        <x:v>792</x:v>
      </x:c>
      <x:c r="K444" s="1"/>
      <x:c r="L444" s="1"/>
    </x:row>
    <x:row r="445" ht="22" customHeight="1">
      <x:c r="A445" s="8" t="n">
        <x:v>952</x:v>
      </x:c>
      <x:c r="B445" s="6" t="n">
        <x:v>45068</x:v>
      </x:c>
      <x:c r="C445" s="2" t="str">
        <x:v>Товары для дома</x:v>
      </x:c>
      <x:c r="D445" s="2" t="str">
        <x:v>Кружка</x:v>
      </x:c>
      <x:c r="E445" s="7" t="n">
        <x:v>71874.09</x:v>
      </x:c>
      <x:c r="F445" s="9" t="n">
        <x:v>10</x:v>
      </x:c>
      <x:c r="G445" s="2" t="str">
        <x:v>Москва</x:v>
      </x:c>
      <x:c r="H445" s="7" t="n">
        <x:f>E445*F445</x:f>
        <x:v>718740.8999999999</x:v>
      </x:c>
      <x:c r="I445" s="2" t="str">
        <x:f>TEXT(B445,"yyyy-mm")</x:f>
        <x:v>2023-05</x:v>
      </x:c>
      <x:c r="J445" s="8" t="n">
        <x:f>COUNTIFS($H$2:$H$1201,"&gt;"&amp;H445)+COUNTIFS($H$2:H445,H445)</x:f>
        <x:v>252</x:v>
      </x:c>
      <x:c r="K445" s="1"/>
      <x:c r="L445" s="1"/>
    </x:row>
    <x:row r="446" ht="22" customHeight="1">
      <x:c r="A446" s="8" t="n">
        <x:v>984</x:v>
      </x:c>
      <x:c r="B446" s="6" t="n">
        <x:v>45068</x:v>
      </x:c>
      <x:c r="C446" s="2" t="str">
        <x:v>Электроника</x:v>
      </x:c>
      <x:c r="D446" s="2" t="str">
        <x:v>Наушники</x:v>
      </x:c>
      <x:c r="E446" s="7" t="n">
        <x:v>51950.09</x:v>
      </x:c>
      <x:c r="F446" s="9" t="n">
        <x:v>2</x:v>
      </x:c>
      <x:c r="G446" s="2" t="str">
        <x:v>Москва</x:v>
      </x:c>
      <x:c r="H446" s="7" t="n">
        <x:f>E446*F446</x:f>
        <x:v>103900.18</x:v>
      </x:c>
      <x:c r="I446" s="2" t="str">
        <x:f>TEXT(B446,"yyyy-mm")</x:f>
        <x:v>2023-05</x:v>
      </x:c>
      <x:c r="J446" s="8" t="n">
        <x:f>COUNTIFS($H$2:$H$1201,"&gt;"&amp;H446)+COUNTIFS($H$2:H446,H446)</x:f>
        <x:v>963</x:v>
      </x:c>
      <x:c r="K446" s="1"/>
      <x:c r="L446" s="1"/>
    </x:row>
    <x:row r="447" ht="22" customHeight="1">
      <x:c r="A447" s="8" t="n">
        <x:v>190</x:v>
      </x:c>
      <x:c r="B447" s="6" t="n">
        <x:v>45069</x:v>
      </x:c>
      <x:c r="C447" s="2" t="str">
        <x:v>Товары для дома</x:v>
      </x:c>
      <x:c r="D447" s="2" t="str">
        <x:v>Кружка</x:v>
      </x:c>
      <x:c r="E447" s="7" t="n">
        <x:v>97590.09</x:v>
      </x:c>
      <x:c r="F447" s="9" t="n">
        <x:v>2</x:v>
      </x:c>
      <x:c r="G447" s="2" t="str">
        <x:v>Екатеринбург</x:v>
      </x:c>
      <x:c r="H447" s="7" t="n">
        <x:f>E447*F447</x:f>
        <x:v>195180.18</x:v>
      </x:c>
      <x:c r="I447" s="2" t="str">
        <x:f>TEXT(B447,"yyyy-mm")</x:f>
        <x:v>2023-05</x:v>
      </x:c>
      <x:c r="J447" s="8" t="n">
        <x:f>COUNTIFS($H$2:$H$1201,"&gt;"&amp;H447)+COUNTIFS($H$2:H447,H447)</x:f>
        <x:v>796</x:v>
      </x:c>
      <x:c r="K447" s="1"/>
      <x:c r="L447" s="1"/>
    </x:row>
    <x:row r="448" ht="22" customHeight="1">
      <x:c r="A448" s="8" t="n">
        <x:v>199</x:v>
      </x:c>
      <x:c r="B448" s="6" t="n">
        <x:v>45069</x:v>
      </x:c>
      <x:c r="C448" s="2" t="str">
        <x:v>Товары для дома</x:v>
      </x:c>
      <x:c r="D448" s="2" t="str">
        <x:v>Подушка</x:v>
      </x:c>
      <x:c r="E448" s="7" t="n">
        <x:v>140744.99</x:v>
      </x:c>
      <x:c r="F448" s="9" t="n">
        <x:v>8</x:v>
      </x:c>
      <x:c r="G448" s="2" t="str">
        <x:v>Новосибирск</x:v>
      </x:c>
      <x:c r="H448" s="7" t="n">
        <x:f>E448*F448</x:f>
        <x:v>1125959.92</x:v>
      </x:c>
      <x:c r="I448" s="2" t="str">
        <x:f>TEXT(B448,"yyyy-mm")</x:f>
        <x:v>2023-05</x:v>
      </x:c>
      <x:c r="J448" s="8" t="n">
        <x:f>COUNTIFS($H$2:$H$1201,"&gt;"&amp;H448)+COUNTIFS($H$2:H448,H448)</x:f>
        <x:v>57</x:v>
      </x:c>
      <x:c r="K448" s="1"/>
      <x:c r="L448" s="1"/>
    </x:row>
    <x:row r="449" ht="22" customHeight="1">
      <x:c r="A449" s="8" t="n">
        <x:v>224</x:v>
      </x:c>
      <x:c r="B449" s="6" t="n">
        <x:v>45069</x:v>
      </x:c>
      <x:c r="C449" s="2" t="str">
        <x:v>Товары для дома</x:v>
      </x:c>
      <x:c r="D449" s="2" t="str">
        <x:v>Плед</x:v>
      </x:c>
      <x:c r="E449" s="7" t="n">
        <x:v>41370.15</x:v>
      </x:c>
      <x:c r="F449" s="9" t="n">
        <x:v>9</x:v>
      </x:c>
      <x:c r="G449" s="2" t="str">
        <x:v>Новосибирск</x:v>
      </x:c>
      <x:c r="H449" s="7" t="n">
        <x:f>E449*F449</x:f>
        <x:v>372331.35000000003</x:v>
      </x:c>
      <x:c r="I449" s="2" t="str">
        <x:f>TEXT(B449,"yyyy-mm")</x:f>
        <x:v>2023-05</x:v>
      </x:c>
      <x:c r="J449" s="8" t="n">
        <x:f>COUNTIFS($H$2:$H$1201,"&gt;"&amp;H449)+COUNTIFS($H$2:H449,H449)</x:f>
        <x:v>556</x:v>
      </x:c>
      <x:c r="K449" s="1"/>
      <x:c r="L449" s="1"/>
    </x:row>
    <x:row r="450" ht="22" customHeight="1">
      <x:c r="A450" s="8" t="n">
        <x:v>530</x:v>
      </x:c>
      <x:c r="B450" s="6" t="n">
        <x:v>45069</x:v>
      </x:c>
      <x:c r="C450" s="2" t="str">
        <x:v>Продукты</x:v>
      </x:c>
      <x:c r="D450" s="2" t="str">
        <x:v>Кофе</x:v>
      </x:c>
      <x:c r="E450" s="7" t="n">
        <x:v>37700.51</x:v>
      </x:c>
      <x:c r="F450" s="9" t="n">
        <x:v>3</x:v>
      </x:c>
      <x:c r="G450" s="2" t="str">
        <x:v>Новосибирск</x:v>
      </x:c>
      <x:c r="H450" s="7" t="n">
        <x:f>E450*F450</x:f>
        <x:v>113101.53</x:v>
      </x:c>
      <x:c r="I450" s="2" t="str">
        <x:f>TEXT(B450,"yyyy-mm")</x:f>
        <x:v>2023-05</x:v>
      </x:c>
      <x:c r="J450" s="8" t="n">
        <x:f>COUNTIFS($H$2:$H$1201,"&gt;"&amp;H450)+COUNTIFS($H$2:H450,H450)</x:f>
        <x:v>942</x:v>
      </x:c>
      <x:c r="K450" s="1"/>
      <x:c r="L450" s="1"/>
    </x:row>
    <x:row r="451" ht="22" customHeight="1">
      <x:c r="A451" s="8" t="n">
        <x:v>559</x:v>
      </x:c>
      <x:c r="B451" s="6" t="n">
        <x:v>45069</x:v>
      </x:c>
      <x:c r="C451" s="2" t="str">
        <x:v>Электроника</x:v>
      </x:c>
      <x:c r="D451" s="2" t="str">
        <x:v>Планшет</x:v>
      </x:c>
      <x:c r="E451" s="7" t="n">
        <x:v>7328.64</x:v>
      </x:c>
      <x:c r="F451" s="9" t="n">
        <x:v>5</x:v>
      </x:c>
      <x:c r="G451" s="2" t="str">
        <x:v>Московская область</x:v>
      </x:c>
      <x:c r="H451" s="7" t="n">
        <x:f>E451*F451</x:f>
        <x:v>36643.200000000004</x:v>
      </x:c>
      <x:c r="I451" s="2" t="str">
        <x:f>TEXT(B451,"yyyy-mm")</x:f>
        <x:v>2023-05</x:v>
      </x:c>
      <x:c r="J451" s="8" t="n">
        <x:f>COUNTIFS($H$2:$H$1201,"&gt;"&amp;H451)+COUNTIFS($H$2:H451,H451)</x:f>
        <x:v>1110</x:v>
      </x:c>
      <x:c r="K451" s="1"/>
      <x:c r="L451" s="1"/>
    </x:row>
    <x:row r="452" ht="22" customHeight="1">
      <x:c r="A452" s="8" t="n">
        <x:v>673</x:v>
      </x:c>
      <x:c r="B452" s="6" t="n">
        <x:v>45069</x:v>
      </x:c>
      <x:c r="C452" s="2" t="str">
        <x:v>Электроника</x:v>
      </x:c>
      <x:c r="D452" s="2" t="str">
        <x:v>Наушники</x:v>
      </x:c>
      <x:c r="E452" s="7" t="n">
        <x:v>88238.31</x:v>
      </x:c>
      <x:c r="F452" s="9" t="n">
        <x:v>2</x:v>
      </x:c>
      <x:c r="G452" s="2" t="str">
        <x:v>Казань</x:v>
      </x:c>
      <x:c r="H452" s="7" t="n">
        <x:f>E452*F452</x:f>
        <x:v>176476.62</x:v>
      </x:c>
      <x:c r="I452" s="2" t="str">
        <x:f>TEXT(B452,"yyyy-mm")</x:f>
        <x:v>2023-05</x:v>
      </x:c>
      <x:c r="J452" s="8" t="n">
        <x:f>COUNTIFS($H$2:$H$1201,"&gt;"&amp;H452)+COUNTIFS($H$2:H452,H452)</x:f>
        <x:v>816</x:v>
      </x:c>
      <x:c r="K452" s="1"/>
      <x:c r="L452" s="1"/>
    </x:row>
    <x:row r="453" ht="22" customHeight="1">
      <x:c r="A453" s="8" t="n">
        <x:v>758</x:v>
      </x:c>
      <x:c r="B453" s="6" t="n">
        <x:v>45069</x:v>
      </x:c>
      <x:c r="C453" s="2" t="str">
        <x:v>Одежда</x:v>
      </x:c>
      <x:c r="D453" s="2" t="str">
        <x:v>Кроссовки</x:v>
      </x:c>
      <x:c r="E453" s="7" t="n">
        <x:v>51555.02</x:v>
      </x:c>
      <x:c r="F453" s="9" t="n">
        <x:v>5</x:v>
      </x:c>
      <x:c r="G453" s="2" t="str">
        <x:v>Санкт‑Петербург</x:v>
      </x:c>
      <x:c r="H453" s="7" t="n">
        <x:f>E453*F453</x:f>
        <x:v>257775.09999999998</x:v>
      </x:c>
      <x:c r="I453" s="2" t="str">
        <x:f>TEXT(B453,"yyyy-mm")</x:f>
        <x:v>2023-05</x:v>
      </x:c>
      <x:c r="J453" s="8" t="n">
        <x:f>COUNTIFS($H$2:$H$1201,"&gt;"&amp;H453)+COUNTIFS($H$2:H453,H453)</x:f>
        <x:v>688</x:v>
      </x:c>
      <x:c r="K453" s="1"/>
      <x:c r="L453" s="1"/>
    </x:row>
    <x:row r="454" ht="22" customHeight="1">
      <x:c r="A454" s="8" t="n">
        <x:v>208</x:v>
      </x:c>
      <x:c r="B454" s="6" t="n">
        <x:v>45070</x:v>
      </x:c>
      <x:c r="C454" s="2" t="str">
        <x:v>Товары для дома</x:v>
      </x:c>
      <x:c r="D454" s="2" t="str">
        <x:v>Полотенце</x:v>
      </x:c>
      <x:c r="E454" s="7" t="n">
        <x:v>79778.7</x:v>
      </x:c>
      <x:c r="F454" s="9" t="n">
        <x:v>3</x:v>
      </x:c>
      <x:c r="G454" s="2" t="str">
        <x:v>Екатеринбург</x:v>
      </x:c>
      <x:c r="H454" s="7" t="n">
        <x:f>E454*F454</x:f>
        <x:v>239336.09999999998</x:v>
      </x:c>
      <x:c r="I454" s="2" t="str">
        <x:f>TEXT(B454,"yyyy-mm")</x:f>
        <x:v>2023-05</x:v>
      </x:c>
      <x:c r="J454" s="8" t="n">
        <x:f>COUNTIFS($H$2:$H$1201,"&gt;"&amp;H454)+COUNTIFS($H$2:H454,H454)</x:f>
        <x:v>723</x:v>
      </x:c>
      <x:c r="K454" s="1"/>
      <x:c r="L454" s="1"/>
    </x:row>
    <x:row r="455" ht="22" customHeight="1">
      <x:c r="A455" s="8" t="n">
        <x:v>223</x:v>
      </x:c>
      <x:c r="B455" s="6" t="n">
        <x:v>45070</x:v>
      </x:c>
      <x:c r="C455" s="2" t="str">
        <x:v>Продукты</x:v>
      </x:c>
      <x:c r="D455" s="2" t="str">
        <x:v>Кофе</x:v>
      </x:c>
      <x:c r="E455" s="7" t="n">
        <x:v>29455.82</x:v>
      </x:c>
      <x:c r="F455" s="9" t="n">
        <x:v>5</x:v>
      </x:c>
      <x:c r="G455" s="2" t="str">
        <x:v>Казань</x:v>
      </x:c>
      <x:c r="H455" s="7" t="n">
        <x:f>E455*F455</x:f>
        <x:v>147279.1</x:v>
      </x:c>
      <x:c r="I455" s="2" t="str">
        <x:f>TEXT(B455,"yyyy-mm")</x:f>
        <x:v>2023-05</x:v>
      </x:c>
      <x:c r="J455" s="8" t="n">
        <x:f>COUNTIFS($H$2:$H$1201,"&gt;"&amp;H455)+COUNTIFS($H$2:H455,H455)</x:f>
        <x:v>859</x:v>
      </x:c>
      <x:c r="K455" s="1"/>
      <x:c r="L455" s="1"/>
    </x:row>
    <x:row r="456" ht="22" customHeight="1">
      <x:c r="A456" s="8" t="n">
        <x:v>412</x:v>
      </x:c>
      <x:c r="B456" s="6" t="n">
        <x:v>45070</x:v>
      </x:c>
      <x:c r="C456" s="2" t="str">
        <x:v>Продукты</x:v>
      </x:c>
      <x:c r="D456" s="2" t="str">
        <x:v>Шоколад</x:v>
      </x:c>
      <x:c r="E456" s="7" t="n">
        <x:v>92375.53</x:v>
      </x:c>
      <x:c r="F456" s="9" t="n">
        <x:v>4</x:v>
      </x:c>
      <x:c r="G456" s="2" t="str">
        <x:v>Казань</x:v>
      </x:c>
      <x:c r="H456" s="7" t="n">
        <x:f>E456*F456</x:f>
        <x:v>369502.12</x:v>
      </x:c>
      <x:c r="I456" s="2" t="str">
        <x:f>TEXT(B456,"yyyy-mm")</x:f>
        <x:v>2023-05</x:v>
      </x:c>
      <x:c r="J456" s="8" t="n">
        <x:f>COUNTIFS($H$2:$H$1201,"&gt;"&amp;H456)+COUNTIFS($H$2:H456,H456)</x:f>
        <x:v>559</x:v>
      </x:c>
      <x:c r="K456" s="1"/>
      <x:c r="L456" s="1"/>
    </x:row>
    <x:row r="457" ht="22" customHeight="1">
      <x:c r="A457" s="8" t="n">
        <x:v>432</x:v>
      </x:c>
      <x:c r="B457" s="6" t="n">
        <x:v>45070</x:v>
      </x:c>
      <x:c r="C457" s="2" t="str">
        <x:v>Продукты</x:v>
      </x:c>
      <x:c r="D457" s="2" t="str">
        <x:v>Кофе</x:v>
      </x:c>
      <x:c r="E457" s="7" t="n">
        <x:v>58431.95</x:v>
      </x:c>
      <x:c r="F457" s="9" t="n">
        <x:v>6</x:v>
      </x:c>
      <x:c r="G457" s="2" t="str">
        <x:v>Новосибирск</x:v>
      </x:c>
      <x:c r="H457" s="7" t="n">
        <x:f>E457*F457</x:f>
        <x:v>350591.69999999995</x:v>
      </x:c>
      <x:c r="I457" s="2" t="str">
        <x:f>TEXT(B457,"yyyy-mm")</x:f>
        <x:v>2023-05</x:v>
      </x:c>
      <x:c r="J457" s="8" t="n">
        <x:f>COUNTIFS($H$2:$H$1201,"&gt;"&amp;H457)+COUNTIFS($H$2:H457,H457)</x:f>
        <x:v>586</x:v>
      </x:c>
      <x:c r="K457" s="1"/>
      <x:c r="L457" s="1"/>
    </x:row>
    <x:row r="458" ht="22" customHeight="1">
      <x:c r="A458" s="8" t="n">
        <x:v>46</x:v>
      </x:c>
      <x:c r="B458" s="6" t="n">
        <x:v>45071</x:v>
      </x:c>
      <x:c r="C458" s="2" t="str">
        <x:v>Электроника</x:v>
      </x:c>
      <x:c r="D458" s="2" t="str">
        <x:v>Смартфон</x:v>
      </x:c>
      <x:c r="E458" s="7" t="n">
        <x:v>127773.14</x:v>
      </x:c>
      <x:c r="F458" s="9" t="n">
        <x:v>6</x:v>
      </x:c>
      <x:c r="G458" s="2" t="str">
        <x:v>Екатеринбург</x:v>
      </x:c>
      <x:c r="H458" s="7" t="n">
        <x:f>E458*F458</x:f>
        <x:v>766638.84</x:v>
      </x:c>
      <x:c r="I458" s="2" t="str">
        <x:f>TEXT(B458,"yyyy-mm")</x:f>
        <x:v>2023-05</x:v>
      </x:c>
      <x:c r="J458" s="8" t="n">
        <x:f>COUNTIFS($H$2:$H$1201,"&gt;"&amp;H458)+COUNTIFS($H$2:H458,H458)</x:f>
        <x:v>219</x:v>
      </x:c>
      <x:c r="K458" s="1"/>
      <x:c r="L458" s="1"/>
    </x:row>
    <x:row r="459" ht="22" customHeight="1">
      <x:c r="A459" s="8" t="n">
        <x:v>235</x:v>
      </x:c>
      <x:c r="B459" s="6" t="n">
        <x:v>45071</x:v>
      </x:c>
      <x:c r="C459" s="2" t="str">
        <x:v>Товары для дома</x:v>
      </x:c>
      <x:c r="D459" s="2" t="str">
        <x:v>Плед</x:v>
      </x:c>
      <x:c r="E459" s="7" t="n">
        <x:v>120318.08</x:v>
      </x:c>
      <x:c r="F459" s="9" t="n">
        <x:v>2</x:v>
      </x:c>
      <x:c r="G459" s="2" t="str">
        <x:v>Екатеринбург</x:v>
      </x:c>
      <x:c r="H459" s="7" t="n">
        <x:f>E459*F459</x:f>
        <x:v>240636.16</x:v>
      </x:c>
      <x:c r="I459" s="2" t="str">
        <x:f>TEXT(B459,"yyyy-mm")</x:f>
        <x:v>2023-05</x:v>
      </x:c>
      <x:c r="J459" s="8" t="n">
        <x:f>COUNTIFS($H$2:$H$1201,"&gt;"&amp;H459)+COUNTIFS($H$2:H459,H459)</x:f>
        <x:v>722</x:v>
      </x:c>
      <x:c r="K459" s="1"/>
      <x:c r="L459" s="1"/>
    </x:row>
    <x:row r="460" ht="22" customHeight="1">
      <x:c r="A460" s="8" t="n">
        <x:v>355</x:v>
      </x:c>
      <x:c r="B460" s="6" t="n">
        <x:v>45071</x:v>
      </x:c>
      <x:c r="C460" s="2" t="str">
        <x:v>Товары для дома</x:v>
      </x:c>
      <x:c r="D460" s="2" t="str">
        <x:v>Подушка</x:v>
      </x:c>
      <x:c r="E460" s="7" t="n">
        <x:v>147872.66</x:v>
      </x:c>
      <x:c r="F460" s="9" t="n">
        <x:v>10</x:v>
      </x:c>
      <x:c r="G460" s="2" t="str">
        <x:v>Санкт‑Петербург</x:v>
      </x:c>
      <x:c r="H460" s="7" t="n">
        <x:f>E460*F460</x:f>
        <x:v>1478726.6</x:v>
      </x:c>
      <x:c r="I460" s="2" t="str">
        <x:f>TEXT(B460,"yyyy-mm")</x:f>
        <x:v>2023-05</x:v>
      </x:c>
      <x:c r="J460" s="8" t="n">
        <x:f>COUNTIFS($H$2:$H$1201,"&gt;"&amp;H460)+COUNTIFS($H$2:H460,H460)</x:f>
        <x:v>1</x:v>
      </x:c>
      <x:c r="K460" s="1"/>
      <x:c r="L460" s="1"/>
    </x:row>
    <x:row r="461" ht="22" customHeight="1">
      <x:c r="A461" s="8" t="n">
        <x:v>166</x:v>
      </x:c>
      <x:c r="B461" s="6" t="n">
        <x:v>45072</x:v>
      </x:c>
      <x:c r="C461" s="2" t="str">
        <x:v>Продукты</x:v>
      </x:c>
      <x:c r="D461" s="2" t="str">
        <x:v>Шоколад</x:v>
      </x:c>
      <x:c r="E461" s="7" t="n">
        <x:v>33449.11</x:v>
      </x:c>
      <x:c r="F461" s="9" t="n">
        <x:v>7</x:v>
      </x:c>
      <x:c r="G461" s="2" t="str">
        <x:v>Казань</x:v>
      </x:c>
      <x:c r="H461" s="7" t="n">
        <x:f>E461*F461</x:f>
        <x:v>234143.77000000002</x:v>
      </x:c>
      <x:c r="I461" s="2" t="str">
        <x:f>TEXT(B461,"yyyy-mm")</x:f>
        <x:v>2023-05</x:v>
      </x:c>
      <x:c r="J461" s="8" t="n">
        <x:f>COUNTIFS($H$2:$H$1201,"&gt;"&amp;H461)+COUNTIFS($H$2:H461,H461)</x:f>
        <x:v>734</x:v>
      </x:c>
      <x:c r="K461" s="1"/>
      <x:c r="L461" s="1"/>
    </x:row>
    <x:row r="462" ht="22" customHeight="1">
      <x:c r="A462" s="8" t="n">
        <x:v>267</x:v>
      </x:c>
      <x:c r="B462" s="6" t="n">
        <x:v>45072</x:v>
      </x:c>
      <x:c r="C462" s="2" t="str">
        <x:v>Продукты</x:v>
      </x:c>
      <x:c r="D462" s="2" t="str">
        <x:v>Шоколад</x:v>
      </x:c>
      <x:c r="E462" s="7" t="n">
        <x:v>87802.33</x:v>
      </x:c>
      <x:c r="F462" s="9" t="n">
        <x:v>5</x:v>
      </x:c>
      <x:c r="G462" s="2" t="str">
        <x:v>Московская область</x:v>
      </x:c>
      <x:c r="H462" s="7" t="n">
        <x:f>E462*F462</x:f>
        <x:v>439011.65</x:v>
      </x:c>
      <x:c r="I462" s="2" t="str">
        <x:f>TEXT(B462,"yyyy-mm")</x:f>
        <x:v>2023-05</x:v>
      </x:c>
      <x:c r="J462" s="8" t="n">
        <x:f>COUNTIFS($H$2:$H$1201,"&gt;"&amp;H462)+COUNTIFS($H$2:H462,H462)</x:f>
        <x:v>469</x:v>
      </x:c>
      <x:c r="K462" s="1"/>
      <x:c r="L462" s="1"/>
    </x:row>
    <x:row r="463" ht="22" customHeight="1">
      <x:c r="A463" s="8" t="n">
        <x:v>547</x:v>
      </x:c>
      <x:c r="B463" s="6" t="n">
        <x:v>45072</x:v>
      </x:c>
      <x:c r="C463" s="2" t="str">
        <x:v>Товары для дома</x:v>
      </x:c>
      <x:c r="D463" s="2" t="str">
        <x:v>Кружка</x:v>
      </x:c>
      <x:c r="E463" s="7" t="n">
        <x:v>90629.24</x:v>
      </x:c>
      <x:c r="F463" s="9" t="n">
        <x:v>8</x:v>
      </x:c>
      <x:c r="G463" s="2" t="str">
        <x:v>Санкт‑Петербург</x:v>
      </x:c>
      <x:c r="H463" s="7" t="n">
        <x:f>E463*F463</x:f>
        <x:v>725033.92</x:v>
      </x:c>
      <x:c r="I463" s="2" t="str">
        <x:f>TEXT(B463,"yyyy-mm")</x:f>
        <x:v>2023-05</x:v>
      </x:c>
      <x:c r="J463" s="8" t="n">
        <x:f>COUNTIFS($H$2:$H$1201,"&gt;"&amp;H463)+COUNTIFS($H$2:H463,H463)</x:f>
        <x:v>245</x:v>
      </x:c>
      <x:c r="K463" s="1"/>
      <x:c r="L463" s="1"/>
    </x:row>
    <x:row r="464" ht="22" customHeight="1">
      <x:c r="A464" s="8" t="n">
        <x:v>789</x:v>
      </x:c>
      <x:c r="B464" s="6" t="n">
        <x:v>45072</x:v>
      </x:c>
      <x:c r="C464" s="2" t="str">
        <x:v>Товары для дома</x:v>
      </x:c>
      <x:c r="D464" s="2" t="str">
        <x:v>Подушка</x:v>
      </x:c>
      <x:c r="E464" s="7" t="n">
        <x:v>140555.36</x:v>
      </x:c>
      <x:c r="F464" s="9" t="n">
        <x:v>9</x:v>
      </x:c>
      <x:c r="G464" s="2" t="str">
        <x:v>Казань</x:v>
      </x:c>
      <x:c r="H464" s="7" t="n">
        <x:f>E464*F464</x:f>
        <x:v>1264998.2399999998</x:v>
      </x:c>
      <x:c r="I464" s="2" t="str">
        <x:f>TEXT(B464,"yyyy-mm")</x:f>
        <x:v>2023-05</x:v>
      </x:c>
      <x:c r="J464" s="8" t="n">
        <x:f>COUNTIFS($H$2:$H$1201,"&gt;"&amp;H464)+COUNTIFS($H$2:H464,H464)</x:f>
        <x:v>24</x:v>
      </x:c>
      <x:c r="K464" s="1"/>
      <x:c r="L464" s="1"/>
    </x:row>
    <x:row r="465" ht="22" customHeight="1">
      <x:c r="A465" s="8" t="n">
        <x:v>1070</x:v>
      </x:c>
      <x:c r="B465" s="6" t="n">
        <x:v>45072</x:v>
      </x:c>
      <x:c r="C465" s="2" t="str">
        <x:v>Электроника</x:v>
      </x:c>
      <x:c r="D465" s="2" t="str">
        <x:v>Смартфон</x:v>
      </x:c>
      <x:c r="E465" s="7" t="n">
        <x:v>53939.3</x:v>
      </x:c>
      <x:c r="F465" s="9" t="n">
        <x:v>4</x:v>
      </x:c>
      <x:c r="G465" s="2" t="str">
        <x:v>Санкт‑Петербург</x:v>
      </x:c>
      <x:c r="H465" s="7" t="n">
        <x:f>E465*F465</x:f>
        <x:v>215757.2</x:v>
      </x:c>
      <x:c r="I465" s="2" t="str">
        <x:f>TEXT(B465,"yyyy-mm")</x:f>
        <x:v>2023-05</x:v>
      </x:c>
      <x:c r="J465" s="8" t="n">
        <x:f>COUNTIFS($H$2:$H$1201,"&gt;"&amp;H465)+COUNTIFS($H$2:H465,H465)</x:f>
        <x:v>764</x:v>
      </x:c>
      <x:c r="K465" s="1"/>
      <x:c r="L465" s="1"/>
    </x:row>
    <x:row r="466" ht="22" customHeight="1">
      <x:c r="A466" s="8" t="n">
        <x:v>1083</x:v>
      </x:c>
      <x:c r="B466" s="6" t="n">
        <x:v>45072</x:v>
      </x:c>
      <x:c r="C466" s="2" t="str">
        <x:v>Электроника</x:v>
      </x:c>
      <x:c r="D466" s="2" t="str">
        <x:v>Планшет</x:v>
      </x:c>
      <x:c r="E466" s="7" t="n">
        <x:v>18404.52</x:v>
      </x:c>
      <x:c r="F466" s="9" t="n">
        <x:v>7</x:v>
      </x:c>
      <x:c r="G466" s="2" t="str">
        <x:v>Казань</x:v>
      </x:c>
      <x:c r="H466" s="7" t="n">
        <x:f>E466*F466</x:f>
        <x:v>128831.64</x:v>
      </x:c>
      <x:c r="I466" s="2" t="str">
        <x:f>TEXT(B466,"yyyy-mm")</x:f>
        <x:v>2023-05</x:v>
      </x:c>
      <x:c r="J466" s="8" t="n">
        <x:f>COUNTIFS($H$2:$H$1201,"&gt;"&amp;H466)+COUNTIFS($H$2:H466,H466)</x:f>
        <x:v>909</x:v>
      </x:c>
      <x:c r="K466" s="1"/>
      <x:c r="L466" s="1"/>
    </x:row>
    <x:row r="467" ht="22" customHeight="1">
      <x:c r="A467" s="8" t="n">
        <x:v>768</x:v>
      </x:c>
      <x:c r="B467" s="6" t="n">
        <x:v>45073</x:v>
      </x:c>
      <x:c r="C467" s="2" t="str">
        <x:v>Электроника</x:v>
      </x:c>
      <x:c r="D467" s="2" t="str">
        <x:v>Ноутбук</x:v>
      </x:c>
      <x:c r="E467" s="7" t="n">
        <x:v>62102.4</x:v>
      </x:c>
      <x:c r="F467" s="9" t="n">
        <x:v>1</x:v>
      </x:c>
      <x:c r="G467" s="2" t="str">
        <x:v>Москва</x:v>
      </x:c>
      <x:c r="H467" s="7" t="n">
        <x:f>E467*F467</x:f>
        <x:v>62102.4</x:v>
      </x:c>
      <x:c r="I467" s="2" t="str">
        <x:f>TEXT(B467,"yyyy-mm")</x:f>
        <x:v>2023-05</x:v>
      </x:c>
      <x:c r="J467" s="8" t="n">
        <x:f>COUNTIFS($H$2:$H$1201,"&gt;"&amp;H467)+COUNTIFS($H$2:H467,H467)</x:f>
        <x:v>1054</x:v>
      </x:c>
      <x:c r="K467" s="1"/>
      <x:c r="L467" s="1"/>
    </x:row>
    <x:row r="468" ht="22" customHeight="1">
      <x:c r="A468" s="8" t="n">
        <x:v>65</x:v>
      </x:c>
      <x:c r="B468" s="6" t="n">
        <x:v>45074</x:v>
      </x:c>
      <x:c r="C468" s="2" t="str">
        <x:v>Одежда</x:v>
      </x:c>
      <x:c r="D468" s="2" t="str">
        <x:v>Футболка</x:v>
      </x:c>
      <x:c r="E468" s="7" t="n">
        <x:v>111921.3</x:v>
      </x:c>
      <x:c r="F468" s="9" t="n">
        <x:v>2</x:v>
      </x:c>
      <x:c r="G468" s="2" t="str">
        <x:v>Москва</x:v>
      </x:c>
      <x:c r="H468" s="7" t="n">
        <x:f>E468*F468</x:f>
        <x:v>223842.6</x:v>
      </x:c>
      <x:c r="I468" s="2" t="str">
        <x:f>TEXT(B468,"yyyy-mm")</x:f>
        <x:v>2023-05</x:v>
      </x:c>
      <x:c r="J468" s="8" t="n">
        <x:f>COUNTIFS($H$2:$H$1201,"&gt;"&amp;H468)+COUNTIFS($H$2:H468,H468)</x:f>
        <x:v>746</x:v>
      </x:c>
      <x:c r="K468" s="1"/>
      <x:c r="L468" s="1"/>
    </x:row>
    <x:row r="469" ht="22" customHeight="1">
      <x:c r="A469" s="8" t="n">
        <x:v>484</x:v>
      </x:c>
      <x:c r="B469" s="6" t="n">
        <x:v>45074</x:v>
      </x:c>
      <x:c r="C469" s="2" t="str">
        <x:v>Одежда</x:v>
      </x:c>
      <x:c r="D469" s="2" t="str">
        <x:v>Куртка</x:v>
      </x:c>
      <x:c r="E469" s="7" t="n">
        <x:v>84100.06</x:v>
      </x:c>
      <x:c r="F469" s="9" t="n">
        <x:v>3</x:v>
      </x:c>
      <x:c r="G469" s="2" t="str">
        <x:v>Московская область</x:v>
      </x:c>
      <x:c r="H469" s="7" t="n">
        <x:f>E469*F469</x:f>
        <x:v>252300.18</x:v>
      </x:c>
      <x:c r="I469" s="2" t="str">
        <x:f>TEXT(B469,"yyyy-mm")</x:f>
        <x:v>2023-05</x:v>
      </x:c>
      <x:c r="J469" s="8" t="n">
        <x:f>COUNTIFS($H$2:$H$1201,"&gt;"&amp;H469)+COUNTIFS($H$2:H469,H469)</x:f>
        <x:v>701</x:v>
      </x:c>
      <x:c r="K469" s="1"/>
      <x:c r="L469" s="1"/>
    </x:row>
    <x:row r="470" ht="22" customHeight="1">
      <x:c r="A470" s="8" t="n">
        <x:v>832</x:v>
      </x:c>
      <x:c r="B470" s="6" t="n">
        <x:v>45074</x:v>
      </x:c>
      <x:c r="C470" s="2" t="str">
        <x:v>Товары для дома</x:v>
      </x:c>
      <x:c r="D470" s="2" t="str">
        <x:v>Плед</x:v>
      </x:c>
      <x:c r="E470" s="7" t="n">
        <x:v>133018.41</x:v>
      </x:c>
      <x:c r="F470" s="9" t="n">
        <x:v>7</x:v>
      </x:c>
      <x:c r="G470" s="2" t="str">
        <x:v>Санкт‑Петербург</x:v>
      </x:c>
      <x:c r="H470" s="7" t="n">
        <x:f>E470*F470</x:f>
        <x:v>931128.87</x:v>
      </x:c>
      <x:c r="I470" s="2" t="str">
        <x:f>TEXT(B470,"yyyy-mm")</x:f>
        <x:v>2023-05</x:v>
      </x:c>
      <x:c r="J470" s="8" t="n">
        <x:f>COUNTIFS($H$2:$H$1201,"&gt;"&amp;H470)+COUNTIFS($H$2:H470,H470)</x:f>
        <x:v>117</x:v>
      </x:c>
      <x:c r="K470" s="1"/>
      <x:c r="L470" s="1"/>
    </x:row>
    <x:row r="471" ht="22" customHeight="1">
      <x:c r="A471" s="8" t="n">
        <x:v>449</x:v>
      </x:c>
      <x:c r="B471" s="6" t="n">
        <x:v>45075</x:v>
      </x:c>
      <x:c r="C471" s="2" t="str">
        <x:v>Продукты</x:v>
      </x:c>
      <x:c r="D471" s="2" t="str">
        <x:v>Кофе</x:v>
      </x:c>
      <x:c r="E471" s="7" t="n">
        <x:v>36288.84</x:v>
      </x:c>
      <x:c r="F471" s="9" t="n">
        <x:v>9</x:v>
      </x:c>
      <x:c r="G471" s="2" t="str">
        <x:v>Санкт‑Петербург</x:v>
      </x:c>
      <x:c r="H471" s="7" t="n">
        <x:f>E471*F471</x:f>
        <x:v>326599.55999999994</x:v>
      </x:c>
      <x:c r="I471" s="2" t="str">
        <x:f>TEXT(B471,"yyyy-mm")</x:f>
        <x:v>2023-05</x:v>
      </x:c>
      <x:c r="J471" s="8" t="n">
        <x:f>COUNTIFS($H$2:$H$1201,"&gt;"&amp;H471)+COUNTIFS($H$2:H471,H471)</x:f>
        <x:v>606</x:v>
      </x:c>
      <x:c r="K471" s="1"/>
      <x:c r="L471" s="1"/>
    </x:row>
    <x:row r="472" ht="22" customHeight="1">
      <x:c r="A472" s="8" t="n">
        <x:v>705</x:v>
      </x:c>
      <x:c r="B472" s="6" t="n">
        <x:v>45075</x:v>
      </x:c>
      <x:c r="C472" s="2" t="str">
        <x:v>Продукты</x:v>
      </x:c>
      <x:c r="D472" s="2" t="str">
        <x:v>Кофе</x:v>
      </x:c>
      <x:c r="E472" s="7" t="n">
        <x:v>104436.2</x:v>
      </x:c>
      <x:c r="F472" s="9" t="n">
        <x:v>1</x:v>
      </x:c>
      <x:c r="G472" s="2" t="str">
        <x:v>Москва</x:v>
      </x:c>
      <x:c r="H472" s="7" t="n">
        <x:f>E472*F472</x:f>
        <x:v>104436.2</x:v>
      </x:c>
      <x:c r="I472" s="2" t="str">
        <x:f>TEXT(B472,"yyyy-mm")</x:f>
        <x:v>2023-05</x:v>
      </x:c>
      <x:c r="J472" s="8" t="n">
        <x:f>COUNTIFS($H$2:$H$1201,"&gt;"&amp;H472)+COUNTIFS($H$2:H472,H472)</x:f>
        <x:v>961</x:v>
      </x:c>
      <x:c r="K472" s="1"/>
      <x:c r="L472" s="1"/>
    </x:row>
    <x:row r="473" ht="22" customHeight="1">
      <x:c r="A473" s="8" t="n">
        <x:v>641</x:v>
      </x:c>
      <x:c r="B473" s="6" t="n">
        <x:v>45076</x:v>
      </x:c>
      <x:c r="C473" s="2" t="str">
        <x:v>Одежда</x:v>
      </x:c>
      <x:c r="D473" s="2" t="str">
        <x:v>Кроссовки</x:v>
      </x:c>
      <x:c r="E473" s="7" t="n">
        <x:v>145505.74</x:v>
      </x:c>
      <x:c r="F473" s="9" t="n">
        <x:v>4</x:v>
      </x:c>
      <x:c r="G473" s="2" t="str">
        <x:v>Московская область</x:v>
      </x:c>
      <x:c r="H473" s="7" t="n">
        <x:f>E473*F473</x:f>
        <x:v>582022.96</x:v>
      </x:c>
      <x:c r="I473" s="2" t="str">
        <x:f>TEXT(B473,"yyyy-mm")</x:f>
        <x:v>2023-05</x:v>
      </x:c>
      <x:c r="J473" s="8" t="n">
        <x:f>COUNTIFS($H$2:$H$1201,"&gt;"&amp;H473)+COUNTIFS($H$2:H473,H473)</x:f>
        <x:v>332</x:v>
      </x:c>
      <x:c r="K473" s="1"/>
      <x:c r="L473" s="1"/>
    </x:row>
    <x:row r="474" ht="22" customHeight="1">
      <x:c r="A474" s="8" t="n">
        <x:v>1059</x:v>
      </x:c>
      <x:c r="B474" s="6" t="n">
        <x:v>45076</x:v>
      </x:c>
      <x:c r="C474" s="2" t="str">
        <x:v>Товары для дома</x:v>
      </x:c>
      <x:c r="D474" s="2" t="str">
        <x:v>Полотенце</x:v>
      </x:c>
      <x:c r="E474" s="7" t="n">
        <x:v>113255.04</x:v>
      </x:c>
      <x:c r="F474" s="9" t="n">
        <x:v>2</x:v>
      </x:c>
      <x:c r="G474" s="2" t="str">
        <x:v>Санкт‑Петербург</x:v>
      </x:c>
      <x:c r="H474" s="7" t="n">
        <x:f>E474*F474</x:f>
        <x:v>226510.08</x:v>
      </x:c>
      <x:c r="I474" s="2" t="str">
        <x:f>TEXT(B474,"yyyy-mm")</x:f>
        <x:v>2023-05</x:v>
      </x:c>
      <x:c r="J474" s="8" t="n">
        <x:f>COUNTIFS($H$2:$H$1201,"&gt;"&amp;H474)+COUNTIFS($H$2:H474,H474)</x:f>
        <x:v>740</x:v>
      </x:c>
      <x:c r="K474" s="1"/>
      <x:c r="L474" s="1"/>
    </x:row>
    <x:row r="475" ht="22" customHeight="1">
      <x:c r="A475" s="8" t="n">
        <x:v>1063</x:v>
      </x:c>
      <x:c r="B475" s="6" t="n">
        <x:v>45076</x:v>
      </x:c>
      <x:c r="C475" s="2" t="str">
        <x:v>Товары для дома</x:v>
      </x:c>
      <x:c r="D475" s="2" t="str">
        <x:v>Полотенце</x:v>
      </x:c>
      <x:c r="E475" s="7" t="n">
        <x:v>39058.13</x:v>
      </x:c>
      <x:c r="F475" s="9" t="n">
        <x:v>3</x:v>
      </x:c>
      <x:c r="G475" s="2" t="str">
        <x:v>Новосибирск</x:v>
      </x:c>
      <x:c r="H475" s="7" t="n">
        <x:f>E475*F475</x:f>
        <x:v>117174.38999999998</x:v>
      </x:c>
      <x:c r="I475" s="2" t="str">
        <x:f>TEXT(B475,"yyyy-mm")</x:f>
        <x:v>2023-05</x:v>
      </x:c>
      <x:c r="J475" s="8" t="n">
        <x:f>COUNTIFS($H$2:$H$1201,"&gt;"&amp;H475)+COUNTIFS($H$2:H475,H475)</x:f>
        <x:v>935</x:v>
      </x:c>
      <x:c r="K475" s="1"/>
      <x:c r="L475" s="1"/>
    </x:row>
    <x:row r="476" ht="22" customHeight="1">
      <x:c r="A476" s="8" t="n">
        <x:v>711</x:v>
      </x:c>
      <x:c r="B476" s="6" t="n">
        <x:v>45077</x:v>
      </x:c>
      <x:c r="C476" s="2" t="str">
        <x:v>Продукты</x:v>
      </x:c>
      <x:c r="D476" s="2" t="str">
        <x:v>Хлеб</x:v>
      </x:c>
      <x:c r="E476" s="7" t="n">
        <x:v>94612.14</x:v>
      </x:c>
      <x:c r="F476" s="9" t="n">
        <x:v>9</x:v>
      </x:c>
      <x:c r="G476" s="2" t="str">
        <x:v>Екатеринбург</x:v>
      </x:c>
      <x:c r="H476" s="7" t="n">
        <x:f>E476*F476</x:f>
        <x:v>851509.26</x:v>
      </x:c>
      <x:c r="I476" s="2" t="str">
        <x:f>TEXT(B476,"yyyy-mm")</x:f>
        <x:v>2023-05</x:v>
      </x:c>
      <x:c r="J476" s="8" t="n">
        <x:f>COUNTIFS($H$2:$H$1201,"&gt;"&amp;H476)+COUNTIFS($H$2:H476,H476)</x:f>
        <x:v>165</x:v>
      </x:c>
      <x:c r="K476" s="1"/>
      <x:c r="L476" s="1"/>
    </x:row>
    <x:row r="477" ht="22" customHeight="1">
      <x:c r="A477" s="8" t="n">
        <x:v>779</x:v>
      </x:c>
      <x:c r="B477" s="6" t="n">
        <x:v>45077</x:v>
      </x:c>
      <x:c r="C477" s="2" t="str">
        <x:v>Продукты</x:v>
      </x:c>
      <x:c r="D477" s="2" t="str">
        <x:v>Шоколад</x:v>
      </x:c>
      <x:c r="E477" s="7" t="n">
        <x:v>65897.43</x:v>
      </x:c>
      <x:c r="F477" s="9" t="n">
        <x:v>5</x:v>
      </x:c>
      <x:c r="G477" s="2" t="str">
        <x:v>Московская область</x:v>
      </x:c>
      <x:c r="H477" s="7" t="n">
        <x:f>E477*F477</x:f>
        <x:v>329487.14999999997</x:v>
      </x:c>
      <x:c r="I477" s="2" t="str">
        <x:f>TEXT(B477,"yyyy-mm")</x:f>
        <x:v>2023-05</x:v>
      </x:c>
      <x:c r="J477" s="8" t="n">
        <x:f>COUNTIFS($H$2:$H$1201,"&gt;"&amp;H477)+COUNTIFS($H$2:H477,H477)</x:f>
        <x:v>602</x:v>
      </x:c>
      <x:c r="K477" s="1"/>
      <x:c r="L477" s="1"/>
    </x:row>
    <x:row r="478" ht="22" customHeight="1">
      <x:c r="A478" s="8" t="n">
        <x:v>815</x:v>
      </x:c>
      <x:c r="B478" s="6" t="n">
        <x:v>45077</x:v>
      </x:c>
      <x:c r="C478" s="2" t="str">
        <x:v>Продукты</x:v>
      </x:c>
      <x:c r="D478" s="2" t="str">
        <x:v>Молоко</x:v>
      </x:c>
      <x:c r="E478" s="7" t="n">
        <x:v>112501.67</x:v>
      </x:c>
      <x:c r="F478" s="9" t="n">
        <x:v>6</x:v>
      </x:c>
      <x:c r="G478" s="2" t="str">
        <x:v>Екатеринбург</x:v>
      </x:c>
      <x:c r="H478" s="7" t="n">
        <x:f>E478*F478</x:f>
        <x:v>675010.02</x:v>
      </x:c>
      <x:c r="I478" s="2" t="str">
        <x:f>TEXT(B478,"yyyy-mm")</x:f>
        <x:v>2023-05</x:v>
      </x:c>
      <x:c r="J478" s="8" t="n">
        <x:f>COUNTIFS($H$2:$H$1201,"&gt;"&amp;H478)+COUNTIFS($H$2:H478,H478)</x:f>
        <x:v>283</x:v>
      </x:c>
      <x:c r="K478" s="1"/>
      <x:c r="L478" s="1"/>
    </x:row>
    <x:row r="479" ht="22" customHeight="1">
      <x:c r="A479" s="8" t="n">
        <x:v>346</x:v>
      </x:c>
      <x:c r="B479" s="6" t="n">
        <x:v>45078</x:v>
      </x:c>
      <x:c r="C479" s="2" t="str">
        <x:v>Электроника</x:v>
      </x:c>
      <x:c r="D479" s="2" t="str">
        <x:v>Ноутбук</x:v>
      </x:c>
      <x:c r="E479" s="7" t="n">
        <x:v>42384.78</x:v>
      </x:c>
      <x:c r="F479" s="9" t="n">
        <x:v>5</x:v>
      </x:c>
      <x:c r="G479" s="2" t="str">
        <x:v>Москва</x:v>
      </x:c>
      <x:c r="H479" s="7" t="n">
        <x:f>E479*F479</x:f>
        <x:v>211923.9</x:v>
      </x:c>
      <x:c r="I479" s="2" t="str">
        <x:f>TEXT(B479,"yyyy-mm")</x:f>
        <x:v>2023-06</x:v>
      </x:c>
      <x:c r="J479" s="8" t="n">
        <x:f>COUNTIFS($H$2:$H$1201,"&gt;"&amp;H479)+COUNTIFS($H$2:H479,H479)</x:f>
        <x:v>773</x:v>
      </x:c>
      <x:c r="K479" s="1"/>
      <x:c r="L479" s="1"/>
    </x:row>
    <x:row r="480" ht="22" customHeight="1">
      <x:c r="A480" s="8" t="n">
        <x:v>896</x:v>
      </x:c>
      <x:c r="B480" s="6" t="n">
        <x:v>45078</x:v>
      </x:c>
      <x:c r="C480" s="2" t="str">
        <x:v>Электроника</x:v>
      </x:c>
      <x:c r="D480" s="2" t="str">
        <x:v>Смартфон</x:v>
      </x:c>
      <x:c r="E480" s="7" t="n">
        <x:v>37759.94</x:v>
      </x:c>
      <x:c r="F480" s="9" t="n">
        <x:v>5</x:v>
      </x:c>
      <x:c r="G480" s="2" t="str">
        <x:v>Казань</x:v>
      </x:c>
      <x:c r="H480" s="7" t="n">
        <x:f>E480*F480</x:f>
        <x:v>188799.7</x:v>
      </x:c>
      <x:c r="I480" s="2" t="str">
        <x:f>TEXT(B480,"yyyy-mm")</x:f>
        <x:v>2023-06</x:v>
      </x:c>
      <x:c r="J480" s="8" t="n">
        <x:f>COUNTIFS($H$2:$H$1201,"&gt;"&amp;H480)+COUNTIFS($H$2:H480,H480)</x:f>
        <x:v>806</x:v>
      </x:c>
      <x:c r="K480" s="1"/>
      <x:c r="L480" s="1"/>
    </x:row>
    <x:row r="481" ht="22" customHeight="1">
      <x:c r="A481" s="8" t="n">
        <x:v>1186</x:v>
      </x:c>
      <x:c r="B481" s="6" t="n">
        <x:v>45078</x:v>
      </x:c>
      <x:c r="C481" s="2" t="str">
        <x:v>Одежда</x:v>
      </x:c>
      <x:c r="D481" s="2" t="str">
        <x:v>Джинсы</x:v>
      </x:c>
      <x:c r="E481" s="7" t="n">
        <x:v>131616.87</x:v>
      </x:c>
      <x:c r="F481" s="9" t="n">
        <x:v>10</x:v>
      </x:c>
      <x:c r="G481" s="2" t="str">
        <x:v>Новосибирск</x:v>
      </x:c>
      <x:c r="H481" s="7" t="n">
        <x:f>E481*F481</x:f>
        <x:v>1316168.7</x:v>
      </x:c>
      <x:c r="I481" s="2" t="str">
        <x:f>TEXT(B481,"yyyy-mm")</x:f>
        <x:v>2023-06</x:v>
      </x:c>
      <x:c r="J481" s="8" t="n">
        <x:f>COUNTIFS($H$2:$H$1201,"&gt;"&amp;H481)+COUNTIFS($H$2:H481,H481)</x:f>
        <x:v>14</x:v>
      </x:c>
      <x:c r="K481" s="1"/>
      <x:c r="L481" s="1"/>
    </x:row>
    <x:row r="482" ht="22" customHeight="1">
      <x:c r="A482" s="8" t="n">
        <x:v>14</x:v>
      </x:c>
      <x:c r="B482" s="6" t="n">
        <x:v>45079</x:v>
      </x:c>
      <x:c r="C482" s="2" t="str">
        <x:v>Продукты</x:v>
      </x:c>
      <x:c r="D482" s="2" t="str">
        <x:v>Шоколад</x:v>
      </x:c>
      <x:c r="E482" s="7" t="n">
        <x:v>10677.09</x:v>
      </x:c>
      <x:c r="F482" s="9" t="n">
        <x:v>6</x:v>
      </x:c>
      <x:c r="G482" s="2" t="str">
        <x:v>Москва</x:v>
      </x:c>
      <x:c r="H482" s="7" t="n">
        <x:f>E482*F482</x:f>
        <x:v>64062.54</x:v>
      </x:c>
      <x:c r="I482" s="2" t="str">
        <x:f>TEXT(B482,"yyyy-mm")</x:f>
        <x:v>2023-06</x:v>
      </x:c>
      <x:c r="J482" s="8" t="n">
        <x:f>COUNTIFS($H$2:$H$1201,"&gt;"&amp;H482)+COUNTIFS($H$2:H482,H482)</x:f>
        <x:v>1049</x:v>
      </x:c>
      <x:c r="K482" s="1"/>
      <x:c r="L482" s="1"/>
    </x:row>
    <x:row r="483" ht="22" customHeight="1">
      <x:c r="A483" s="8" t="n">
        <x:v>297</x:v>
      </x:c>
      <x:c r="B483" s="6" t="n">
        <x:v>45079</x:v>
      </x:c>
      <x:c r="C483" s="2" t="str">
        <x:v>Электроника</x:v>
      </x:c>
      <x:c r="D483" s="2" t="str">
        <x:v>Наушники</x:v>
      </x:c>
      <x:c r="E483" s="7" t="n">
        <x:v>38450.3</x:v>
      </x:c>
      <x:c r="F483" s="9" t="n">
        <x:v>3</x:v>
      </x:c>
      <x:c r="G483" s="2" t="str">
        <x:v>Казань</x:v>
      </x:c>
      <x:c r="H483" s="7" t="n">
        <x:f>E483*F483</x:f>
        <x:v>115350.90000000001</x:v>
      </x:c>
      <x:c r="I483" s="2" t="str">
        <x:f>TEXT(B483,"yyyy-mm")</x:f>
        <x:v>2023-06</x:v>
      </x:c>
      <x:c r="J483" s="8" t="n">
        <x:f>COUNTIFS($H$2:$H$1201,"&gt;"&amp;H483)+COUNTIFS($H$2:H483,H483)</x:f>
        <x:v>939</x:v>
      </x:c>
      <x:c r="K483" s="1"/>
      <x:c r="L483" s="1"/>
    </x:row>
    <x:row r="484" ht="22" customHeight="1">
      <x:c r="A484" s="8" t="n">
        <x:v>130</x:v>
      </x:c>
      <x:c r="B484" s="6" t="n">
        <x:v>45080</x:v>
      </x:c>
      <x:c r="C484" s="2" t="str">
        <x:v>Товары для дома</x:v>
      </x:c>
      <x:c r="D484" s="2" t="str">
        <x:v>Плед</x:v>
      </x:c>
      <x:c r="E484" s="7" t="n">
        <x:v>29275.83</x:v>
      </x:c>
      <x:c r="F484" s="9" t="n">
        <x:v>1</x:v>
      </x:c>
      <x:c r="G484" s="2" t="str">
        <x:v>Новосибирск</x:v>
      </x:c>
      <x:c r="H484" s="7" t="n">
        <x:f>E484*F484</x:f>
        <x:v>29275.83</x:v>
      </x:c>
      <x:c r="I484" s="2" t="str">
        <x:f>TEXT(B484,"yyyy-mm")</x:f>
        <x:v>2023-06</x:v>
      </x:c>
      <x:c r="J484" s="8" t="n">
        <x:f>COUNTIFS($H$2:$H$1201,"&gt;"&amp;H484)+COUNTIFS($H$2:H484,H484)</x:f>
        <x:v>1129</x:v>
      </x:c>
      <x:c r="K484" s="1"/>
      <x:c r="L484" s="1"/>
    </x:row>
    <x:row r="485" ht="22" customHeight="1">
      <x:c r="A485" s="8" t="n">
        <x:v>544</x:v>
      </x:c>
      <x:c r="B485" s="6" t="n">
        <x:v>45080</x:v>
      </x:c>
      <x:c r="C485" s="2" t="str">
        <x:v>Продукты</x:v>
      </x:c>
      <x:c r="D485" s="2" t="str">
        <x:v>Молоко</x:v>
      </x:c>
      <x:c r="E485" s="7" t="n">
        <x:v>90695.15</x:v>
      </x:c>
      <x:c r="F485" s="9" t="n">
        <x:v>10</x:v>
      </x:c>
      <x:c r="G485" s="2" t="str">
        <x:v>Новосибирск</x:v>
      </x:c>
      <x:c r="H485" s="7" t="n">
        <x:f>E485*F485</x:f>
        <x:v>906951.5</x:v>
      </x:c>
      <x:c r="I485" s="2" t="str">
        <x:f>TEXT(B485,"yyyy-mm")</x:f>
        <x:v>2023-06</x:v>
      </x:c>
      <x:c r="J485" s="8" t="n">
        <x:f>COUNTIFS($H$2:$H$1201,"&gt;"&amp;H485)+COUNTIFS($H$2:H485,H485)</x:f>
        <x:v>133</x:v>
      </x:c>
      <x:c r="K485" s="1"/>
      <x:c r="L485" s="1"/>
    </x:row>
    <x:row r="486" ht="22" customHeight="1">
      <x:c r="A486" s="8" t="n">
        <x:v>680</x:v>
      </x:c>
      <x:c r="B486" s="6" t="n">
        <x:v>45080</x:v>
      </x:c>
      <x:c r="C486" s="2" t="str">
        <x:v>Товары для дома</x:v>
      </x:c>
      <x:c r="D486" s="2" t="str">
        <x:v>Кружка</x:v>
      </x:c>
      <x:c r="E486" s="7" t="n">
        <x:v>96088.22</x:v>
      </x:c>
      <x:c r="F486" s="9" t="n">
        <x:v>5</x:v>
      </x:c>
      <x:c r="G486" s="2" t="str">
        <x:v>Москва</x:v>
      </x:c>
      <x:c r="H486" s="7" t="n">
        <x:f>E486*F486</x:f>
        <x:v>480441.1</x:v>
      </x:c>
      <x:c r="I486" s="2" t="str">
        <x:f>TEXT(B486,"yyyy-mm")</x:f>
        <x:v>2023-06</x:v>
      </x:c>
      <x:c r="J486" s="8" t="n">
        <x:f>COUNTIFS($H$2:$H$1201,"&gt;"&amp;H486)+COUNTIFS($H$2:H486,H486)</x:f>
        <x:v>427</x:v>
      </x:c>
      <x:c r="K486" s="1"/>
      <x:c r="L486" s="1"/>
    </x:row>
    <x:row r="487" ht="22" customHeight="1">
      <x:c r="A487" s="8" t="n">
        <x:v>724</x:v>
      </x:c>
      <x:c r="B487" s="6" t="n">
        <x:v>45080</x:v>
      </x:c>
      <x:c r="C487" s="2" t="str">
        <x:v>Одежда</x:v>
      </x:c>
      <x:c r="D487" s="2" t="str">
        <x:v>Куртка</x:v>
      </x:c>
      <x:c r="E487" s="7" t="n">
        <x:v>95168.14</x:v>
      </x:c>
      <x:c r="F487" s="9" t="n">
        <x:v>4</x:v>
      </x:c>
      <x:c r="G487" s="2" t="str">
        <x:v>Московская область</x:v>
      </x:c>
      <x:c r="H487" s="7" t="n">
        <x:f>E487*F487</x:f>
        <x:v>380672.56</x:v>
      </x:c>
      <x:c r="I487" s="2" t="str">
        <x:f>TEXT(B487,"yyyy-mm")</x:f>
        <x:v>2023-06</x:v>
      </x:c>
      <x:c r="J487" s="8" t="n">
        <x:f>COUNTIFS($H$2:$H$1201,"&gt;"&amp;H487)+COUNTIFS($H$2:H487,H487)</x:f>
        <x:v>547</x:v>
      </x:c>
      <x:c r="K487" s="1"/>
      <x:c r="L487" s="1"/>
    </x:row>
    <x:row r="488" ht="22" customHeight="1">
      <x:c r="A488" s="8" t="n">
        <x:v>1168</x:v>
      </x:c>
      <x:c r="B488" s="6" t="n">
        <x:v>45080</x:v>
      </x:c>
      <x:c r="C488" s="2" t="str">
        <x:v>Одежда</x:v>
      </x:c>
      <x:c r="D488" s="2" t="str">
        <x:v>Футболка</x:v>
      </x:c>
      <x:c r="E488" s="7" t="n">
        <x:v>7599.33</x:v>
      </x:c>
      <x:c r="F488" s="9" t="n">
        <x:v>2</x:v>
      </x:c>
      <x:c r="G488" s="2" t="str">
        <x:v>Екатеринбург</x:v>
      </x:c>
      <x:c r="H488" s="7" t="n">
        <x:f>E488*F488</x:f>
        <x:v>15198.66</x:v>
      </x:c>
      <x:c r="I488" s="2" t="str">
        <x:f>TEXT(B488,"yyyy-mm")</x:f>
        <x:v>2023-06</x:v>
      </x:c>
      <x:c r="J488" s="8" t="n">
        <x:f>COUNTIFS($H$2:$H$1201,"&gt;"&amp;H488)+COUNTIFS($H$2:H488,H488)</x:f>
        <x:v>1167</x:v>
      </x:c>
      <x:c r="K488" s="1"/>
      <x:c r="L488" s="1"/>
    </x:row>
    <x:row r="489" ht="22" customHeight="1">
      <x:c r="A489" s="8" t="n">
        <x:v>171</x:v>
      </x:c>
      <x:c r="B489" s="6" t="n">
        <x:v>45081</x:v>
      </x:c>
      <x:c r="C489" s="2" t="str">
        <x:v>Одежда</x:v>
      </x:c>
      <x:c r="D489" s="2" t="str">
        <x:v>Футболка</x:v>
      </x:c>
      <x:c r="E489" s="7" t="n">
        <x:v>110247.5</x:v>
      </x:c>
      <x:c r="F489" s="9" t="n">
        <x:v>5</x:v>
      </x:c>
      <x:c r="G489" s="2" t="str">
        <x:v>Санкт‑Петербург</x:v>
      </x:c>
      <x:c r="H489" s="7" t="n">
        <x:f>E489*F489</x:f>
        <x:v>551237.5</x:v>
      </x:c>
      <x:c r="I489" s="2" t="str">
        <x:f>TEXT(B489,"yyyy-mm")</x:f>
        <x:v>2023-06</x:v>
      </x:c>
      <x:c r="J489" s="8" t="n">
        <x:f>COUNTIFS($H$2:$H$1201,"&gt;"&amp;H489)+COUNTIFS($H$2:H489,H489)</x:f>
        <x:v>368</x:v>
      </x:c>
      <x:c r="K489" s="1"/>
      <x:c r="L489" s="1"/>
    </x:row>
    <x:row r="490" ht="22" customHeight="1">
      <x:c r="A490" s="8" t="n">
        <x:v>214</x:v>
      </x:c>
      <x:c r="B490" s="6" t="n">
        <x:v>45081</x:v>
      </x:c>
      <x:c r="C490" s="2" t="str">
        <x:v>Товары для дома</x:v>
      </x:c>
      <x:c r="D490" s="2" t="str">
        <x:v>Плед</x:v>
      </x:c>
      <x:c r="E490" s="7" t="n">
        <x:v>108040.25</x:v>
      </x:c>
      <x:c r="F490" s="9" t="n">
        <x:v>8</x:v>
      </x:c>
      <x:c r="G490" s="2" t="str">
        <x:v>Санкт‑Петербург</x:v>
      </x:c>
      <x:c r="H490" s="7" t="n">
        <x:f>E490*F490</x:f>
        <x:v>864322</x:v>
      </x:c>
      <x:c r="I490" s="2" t="str">
        <x:f>TEXT(B490,"yyyy-mm")</x:f>
        <x:v>2023-06</x:v>
      </x:c>
      <x:c r="J490" s="8" t="n">
        <x:f>COUNTIFS($H$2:$H$1201,"&gt;"&amp;H490)+COUNTIFS($H$2:H490,H490)</x:f>
        <x:v>155</x:v>
      </x:c>
      <x:c r="K490" s="1"/>
      <x:c r="L490" s="1"/>
    </x:row>
    <x:row r="491" ht="22" customHeight="1">
      <x:c r="A491" s="8" t="n">
        <x:v>299</x:v>
      </x:c>
      <x:c r="B491" s="6" t="n">
        <x:v>45081</x:v>
      </x:c>
      <x:c r="C491" s="2" t="str">
        <x:v>Товары для дома</x:v>
      </x:c>
      <x:c r="D491" s="2" t="str">
        <x:v>Плед</x:v>
      </x:c>
      <x:c r="E491" s="7" t="n">
        <x:v>17229.66</x:v>
      </x:c>
      <x:c r="F491" s="9" t="n">
        <x:v>8</x:v>
      </x:c>
      <x:c r="G491" s="2" t="str">
        <x:v>Санкт‑Петербург</x:v>
      </x:c>
      <x:c r="H491" s="7" t="n">
        <x:f>E491*F491</x:f>
        <x:v>137837.28</x:v>
      </x:c>
      <x:c r="I491" s="2" t="str">
        <x:f>TEXT(B491,"yyyy-mm")</x:f>
        <x:v>2023-06</x:v>
      </x:c>
      <x:c r="J491" s="8" t="n">
        <x:f>COUNTIFS($H$2:$H$1201,"&gt;"&amp;H491)+COUNTIFS($H$2:H491,H491)</x:f>
        <x:v>884</x:v>
      </x:c>
      <x:c r="K491" s="1"/>
      <x:c r="L491" s="1"/>
    </x:row>
    <x:row r="492" ht="22" customHeight="1">
      <x:c r="A492" s="8" t="n">
        <x:v>726</x:v>
      </x:c>
      <x:c r="B492" s="6" t="n">
        <x:v>45081</x:v>
      </x:c>
      <x:c r="C492" s="2" t="str">
        <x:v>Продукты</x:v>
      </x:c>
      <x:c r="D492" s="2" t="str">
        <x:v>Молоко</x:v>
      </x:c>
      <x:c r="E492" s="7" t="n">
        <x:v>17573.62</x:v>
      </x:c>
      <x:c r="F492" s="9" t="n">
        <x:v>3</x:v>
      </x:c>
      <x:c r="G492" s="2" t="str">
        <x:v>Казань</x:v>
      </x:c>
      <x:c r="H492" s="7" t="n">
        <x:f>E492*F492</x:f>
        <x:v>52720.86</x:v>
      </x:c>
      <x:c r="I492" s="2" t="str">
        <x:f>TEXT(B492,"yyyy-mm")</x:f>
        <x:v>2023-06</x:v>
      </x:c>
      <x:c r="J492" s="8" t="n">
        <x:f>COUNTIFS($H$2:$H$1201,"&gt;"&amp;H492)+COUNTIFS($H$2:H492,H492)</x:f>
        <x:v>1079</x:v>
      </x:c>
      <x:c r="K492" s="1"/>
      <x:c r="L492" s="1"/>
    </x:row>
    <x:row r="493" ht="22" customHeight="1">
      <x:c r="A493" s="8" t="n">
        <x:v>793</x:v>
      </x:c>
      <x:c r="B493" s="6" t="n">
        <x:v>45081</x:v>
      </x:c>
      <x:c r="C493" s="2" t="str">
        <x:v>Товары для дома</x:v>
      </x:c>
      <x:c r="D493" s="2" t="str">
        <x:v>Кружка</x:v>
      </x:c>
      <x:c r="E493" s="7" t="n">
        <x:v>28667.24</x:v>
      </x:c>
      <x:c r="F493" s="9" t="n">
        <x:v>2</x:v>
      </x:c>
      <x:c r="G493" s="2" t="str">
        <x:v>Московская область</x:v>
      </x:c>
      <x:c r="H493" s="7" t="n">
        <x:f>E493*F493</x:f>
        <x:v>57334.48</x:v>
      </x:c>
      <x:c r="I493" s="2" t="str">
        <x:f>TEXT(B493,"yyyy-mm")</x:f>
        <x:v>2023-06</x:v>
      </x:c>
      <x:c r="J493" s="8" t="n">
        <x:f>COUNTIFS($H$2:$H$1201,"&gt;"&amp;H493)+COUNTIFS($H$2:H493,H493)</x:f>
        <x:v>1067</x:v>
      </x:c>
      <x:c r="K493" s="1"/>
      <x:c r="L493" s="1"/>
    </x:row>
    <x:row r="494" ht="22" customHeight="1">
      <x:c r="A494" s="8" t="n">
        <x:v>390</x:v>
      </x:c>
      <x:c r="B494" s="6" t="n">
        <x:v>45082</x:v>
      </x:c>
      <x:c r="C494" s="2" t="str">
        <x:v>Продукты</x:v>
      </x:c>
      <x:c r="D494" s="2" t="str">
        <x:v>Шоколад</x:v>
      </x:c>
      <x:c r="E494" s="7" t="n">
        <x:v>136221.16</x:v>
      </x:c>
      <x:c r="F494" s="9" t="n">
        <x:v>8</x:v>
      </x:c>
      <x:c r="G494" s="2" t="str">
        <x:v>Москва</x:v>
      </x:c>
      <x:c r="H494" s="7" t="n">
        <x:f>E494*F494</x:f>
        <x:v>1089769.28</x:v>
      </x:c>
      <x:c r="I494" s="2" t="str">
        <x:f>TEXT(B494,"yyyy-mm")</x:f>
        <x:v>2023-06</x:v>
      </x:c>
      <x:c r="J494" s="8" t="n">
        <x:f>COUNTIFS($H$2:$H$1201,"&gt;"&amp;H494)+COUNTIFS($H$2:H494,H494)</x:f>
        <x:v>67</x:v>
      </x:c>
      <x:c r="K494" s="1"/>
      <x:c r="L494" s="1"/>
    </x:row>
    <x:row r="495" ht="22" customHeight="1">
      <x:c r="A495" s="8" t="n">
        <x:v>769</x:v>
      </x:c>
      <x:c r="B495" s="6" t="n">
        <x:v>45082</x:v>
      </x:c>
      <x:c r="C495" s="2" t="str">
        <x:v>Товары для дома</x:v>
      </x:c>
      <x:c r="D495" s="2" t="str">
        <x:v>Кружка</x:v>
      </x:c>
      <x:c r="E495" s="7" t="n">
        <x:v>98123.32</x:v>
      </x:c>
      <x:c r="F495" s="9" t="n">
        <x:v>7</x:v>
      </x:c>
      <x:c r="G495" s="2" t="str">
        <x:v>Москва</x:v>
      </x:c>
      <x:c r="H495" s="7" t="n">
        <x:f>E495*F495</x:f>
        <x:v>686863.24</x:v>
      </x:c>
      <x:c r="I495" s="2" t="str">
        <x:f>TEXT(B495,"yyyy-mm")</x:f>
        <x:v>2023-06</x:v>
      </x:c>
      <x:c r="J495" s="8" t="n">
        <x:f>COUNTIFS($H$2:$H$1201,"&gt;"&amp;H495)+COUNTIFS($H$2:H495,H495)</x:f>
        <x:v>274</x:v>
      </x:c>
      <x:c r="K495" s="1"/>
      <x:c r="L495" s="1"/>
    </x:row>
    <x:row r="496" ht="22" customHeight="1">
      <x:c r="A496" s="8" t="n">
        <x:v>1066</x:v>
      </x:c>
      <x:c r="B496" s="6" t="n">
        <x:v>45082</x:v>
      </x:c>
      <x:c r="C496" s="2" t="str">
        <x:v>Товары для дома</x:v>
      </x:c>
      <x:c r="D496" s="2" t="str">
        <x:v>Кружка</x:v>
      </x:c>
      <x:c r="E496" s="7" t="n">
        <x:v>82885.34</x:v>
      </x:c>
      <x:c r="F496" s="9" t="n">
        <x:v>6</x:v>
      </x:c>
      <x:c r="G496" s="2" t="str">
        <x:v>Новосибирск</x:v>
      </x:c>
      <x:c r="H496" s="7" t="n">
        <x:f>E496*F496</x:f>
        <x:v>497312.04</x:v>
      </x:c>
      <x:c r="I496" s="2" t="str">
        <x:f>TEXT(B496,"yyyy-mm")</x:f>
        <x:v>2023-06</x:v>
      </x:c>
      <x:c r="J496" s="8" t="n">
        <x:f>COUNTIFS($H$2:$H$1201,"&gt;"&amp;H496)+COUNTIFS($H$2:H496,H496)</x:f>
        <x:v>412</x:v>
      </x:c>
      <x:c r="K496" s="1"/>
      <x:c r="L496" s="1"/>
    </x:row>
    <x:row r="497" ht="22" customHeight="1">
      <x:c r="A497" s="8" t="n">
        <x:v>1094</x:v>
      </x:c>
      <x:c r="B497" s="6" t="n">
        <x:v>45082</x:v>
      </x:c>
      <x:c r="C497" s="2" t="str">
        <x:v>Электроника</x:v>
      </x:c>
      <x:c r="D497" s="2" t="str">
        <x:v>Ноутбук</x:v>
      </x:c>
      <x:c r="E497" s="7" t="n">
        <x:v>130479.19</x:v>
      </x:c>
      <x:c r="F497" s="9" t="n">
        <x:v>2</x:v>
      </x:c>
      <x:c r="G497" s="2" t="str">
        <x:v>Новосибирск</x:v>
      </x:c>
      <x:c r="H497" s="7" t="n">
        <x:f>E497*F497</x:f>
        <x:v>260958.38</x:v>
      </x:c>
      <x:c r="I497" s="2" t="str">
        <x:f>TEXT(B497,"yyyy-mm")</x:f>
        <x:v>2023-06</x:v>
      </x:c>
      <x:c r="J497" s="8" t="n">
        <x:f>COUNTIFS($H$2:$H$1201,"&gt;"&amp;H497)+COUNTIFS($H$2:H497,H497)</x:f>
        <x:v>684</x:v>
      </x:c>
      <x:c r="K497" s="1"/>
      <x:c r="L497" s="1"/>
    </x:row>
    <x:row r="498" ht="22" customHeight="1">
      <x:c r="A498" s="8" t="n">
        <x:v>69</x:v>
      </x:c>
      <x:c r="B498" s="6" t="n">
        <x:v>45083</x:v>
      </x:c>
      <x:c r="C498" s="2" t="str">
        <x:v>Товары для дома</x:v>
      </x:c>
      <x:c r="D498" s="2" t="str">
        <x:v>Полотенце</x:v>
      </x:c>
      <x:c r="E498" s="7" t="n">
        <x:v>21299.25</x:v>
      </x:c>
      <x:c r="F498" s="9" t="n">
        <x:v>4</x:v>
      </x:c>
      <x:c r="G498" s="2" t="str">
        <x:v>Москва</x:v>
      </x:c>
      <x:c r="H498" s="7" t="n">
        <x:f>E498*F498</x:f>
        <x:v>85197</x:v>
      </x:c>
      <x:c r="I498" s="2" t="str">
        <x:f>TEXT(B498,"yyyy-mm")</x:f>
        <x:v>2023-06</x:v>
      </x:c>
      <x:c r="J498" s="8" t="n">
        <x:f>COUNTIFS($H$2:$H$1201,"&gt;"&amp;H498)+COUNTIFS($H$2:H498,H498)</x:f>
        <x:v>1003</x:v>
      </x:c>
      <x:c r="K498" s="1"/>
      <x:c r="L498" s="1"/>
    </x:row>
    <x:row r="499" ht="22" customHeight="1">
      <x:c r="A499" s="8" t="n">
        <x:v>500</x:v>
      </x:c>
      <x:c r="B499" s="6" t="n">
        <x:v>45083</x:v>
      </x:c>
      <x:c r="C499" s="2" t="str">
        <x:v>Товары для дома</x:v>
      </x:c>
      <x:c r="D499" s="2" t="str">
        <x:v>Кружка</x:v>
      </x:c>
      <x:c r="E499" s="7" t="n">
        <x:v>85135.68</x:v>
      </x:c>
      <x:c r="F499" s="9" t="n">
        <x:v>3</x:v>
      </x:c>
      <x:c r="G499" s="2" t="str">
        <x:v>Казань</x:v>
      </x:c>
      <x:c r="H499" s="7" t="n">
        <x:f>E499*F499</x:f>
        <x:v>255407.03999999998</x:v>
      </x:c>
      <x:c r="I499" s="2" t="str">
        <x:f>TEXT(B499,"yyyy-mm")</x:f>
        <x:v>2023-06</x:v>
      </x:c>
      <x:c r="J499" s="8" t="n">
        <x:f>COUNTIFS($H$2:$H$1201,"&gt;"&amp;H499)+COUNTIFS($H$2:H499,H499)</x:f>
        <x:v>694</x:v>
      </x:c>
      <x:c r="K499" s="1"/>
      <x:c r="L499" s="1"/>
    </x:row>
    <x:row r="500" ht="22" customHeight="1">
      <x:c r="A500" s="8" t="n">
        <x:v>561</x:v>
      </x:c>
      <x:c r="B500" s="6" t="n">
        <x:v>45083</x:v>
      </x:c>
      <x:c r="C500" s="2" t="str">
        <x:v>Одежда</x:v>
      </x:c>
      <x:c r="D500" s="2" t="str">
        <x:v>Кроссовки</x:v>
      </x:c>
      <x:c r="E500" s="7" t="n">
        <x:v>75657.5</x:v>
      </x:c>
      <x:c r="F500" s="9" t="n">
        <x:v>1</x:v>
      </x:c>
      <x:c r="G500" s="2" t="str">
        <x:v>Московская область</x:v>
      </x:c>
      <x:c r="H500" s="7" t="n">
        <x:f>E500*F500</x:f>
        <x:v>75657.5</x:v>
      </x:c>
      <x:c r="I500" s="2" t="str">
        <x:f>TEXT(B500,"yyyy-mm")</x:f>
        <x:v>2023-06</x:v>
      </x:c>
      <x:c r="J500" s="8" t="n">
        <x:f>COUNTIFS($H$2:$H$1201,"&gt;"&amp;H500)+COUNTIFS($H$2:H500,H500)</x:f>
        <x:v>1026</x:v>
      </x:c>
      <x:c r="K500" s="1"/>
      <x:c r="L500" s="1"/>
    </x:row>
    <x:row r="501" ht="22" customHeight="1">
      <x:c r="A501" s="8" t="n">
        <x:v>584</x:v>
      </x:c>
      <x:c r="B501" s="6" t="n">
        <x:v>45083</x:v>
      </x:c>
      <x:c r="C501" s="2" t="str">
        <x:v>Электроника</x:v>
      </x:c>
      <x:c r="D501" s="2" t="str">
        <x:v>Смартфон</x:v>
      </x:c>
      <x:c r="E501" s="7" t="n">
        <x:v>103205.33</x:v>
      </x:c>
      <x:c r="F501" s="9" t="n">
        <x:v>3</x:v>
      </x:c>
      <x:c r="G501" s="2" t="str">
        <x:v>Казань</x:v>
      </x:c>
      <x:c r="H501" s="7" t="n">
        <x:f>E501*F501</x:f>
        <x:v>309615.99</x:v>
      </x:c>
      <x:c r="I501" s="2" t="str">
        <x:f>TEXT(B501,"yyyy-mm")</x:f>
        <x:v>2023-06</x:v>
      </x:c>
      <x:c r="J501" s="8" t="n">
        <x:f>COUNTIFS($H$2:$H$1201,"&gt;"&amp;H501)+COUNTIFS($H$2:H501,H501)</x:f>
        <x:v>627</x:v>
      </x:c>
      <x:c r="K501" s="1"/>
      <x:c r="L501" s="1"/>
    </x:row>
    <x:row r="502" ht="22" customHeight="1">
      <x:c r="A502" s="8" t="n">
        <x:v>1015</x:v>
      </x:c>
      <x:c r="B502" s="6" t="n">
        <x:v>45083</x:v>
      </x:c>
      <x:c r="C502" s="2" t="str">
        <x:v>Товары для дома</x:v>
      </x:c>
      <x:c r="D502" s="2" t="str">
        <x:v>Подушка</x:v>
      </x:c>
      <x:c r="E502" s="7" t="n">
        <x:v>63615.61</x:v>
      </x:c>
      <x:c r="F502" s="9" t="n">
        <x:v>10</x:v>
      </x:c>
      <x:c r="G502" s="2" t="str">
        <x:v>Московская область</x:v>
      </x:c>
      <x:c r="H502" s="7" t="n">
        <x:f>E502*F502</x:f>
        <x:v>636156.1</x:v>
      </x:c>
      <x:c r="I502" s="2" t="str">
        <x:f>TEXT(B502,"yyyy-mm")</x:f>
        <x:v>2023-06</x:v>
      </x:c>
      <x:c r="J502" s="8" t="n">
        <x:f>COUNTIFS($H$2:$H$1201,"&gt;"&amp;H502)+COUNTIFS($H$2:H502,H502)</x:f>
        <x:v>301</x:v>
      </x:c>
      <x:c r="K502" s="1"/>
      <x:c r="L502" s="1"/>
    </x:row>
    <x:row r="503" ht="22" customHeight="1">
      <x:c r="A503" s="8" t="n">
        <x:v>1027</x:v>
      </x:c>
      <x:c r="B503" s="6" t="n">
        <x:v>45084</x:v>
      </x:c>
      <x:c r="C503" s="2" t="str">
        <x:v>Одежда</x:v>
      </x:c>
      <x:c r="D503" s="2" t="str">
        <x:v>Кроссовки</x:v>
      </x:c>
      <x:c r="E503" s="7" t="n">
        <x:v>54085.09</x:v>
      </x:c>
      <x:c r="F503" s="9" t="n">
        <x:v>7</x:v>
      </x:c>
      <x:c r="G503" s="2" t="str">
        <x:v>Екатеринбург</x:v>
      </x:c>
      <x:c r="H503" s="7" t="n">
        <x:f>E503*F503</x:f>
        <x:v>378595.63</x:v>
      </x:c>
      <x:c r="I503" s="2" t="str">
        <x:f>TEXT(B503,"yyyy-mm")</x:f>
        <x:v>2023-06</x:v>
      </x:c>
      <x:c r="J503" s="8" t="n">
        <x:f>COUNTIFS($H$2:$H$1201,"&gt;"&amp;H503)+COUNTIFS($H$2:H503,H503)</x:f>
        <x:v>550</x:v>
      </x:c>
      <x:c r="K503" s="1"/>
      <x:c r="L503" s="1"/>
    </x:row>
    <x:row r="504" ht="22" customHeight="1">
      <x:c r="A504" s="8" t="n">
        <x:v>164</x:v>
      </x:c>
      <x:c r="B504" s="6" t="n">
        <x:v>45085</x:v>
      </x:c>
      <x:c r="C504" s="2" t="str">
        <x:v>Товары для дома</x:v>
      </x:c>
      <x:c r="D504" s="2" t="str">
        <x:v>Кружка</x:v>
      </x:c>
      <x:c r="E504" s="7" t="n">
        <x:v>100185.54</x:v>
      </x:c>
      <x:c r="F504" s="9" t="n">
        <x:v>6</x:v>
      </x:c>
      <x:c r="G504" s="2" t="str">
        <x:v>Московская область</x:v>
      </x:c>
      <x:c r="H504" s="7" t="n">
        <x:f>E504*F504</x:f>
        <x:v>601113.24</x:v>
      </x:c>
      <x:c r="I504" s="2" t="str">
        <x:f>TEXT(B504,"yyyy-mm")</x:f>
        <x:v>2023-06</x:v>
      </x:c>
      <x:c r="J504" s="8" t="n">
        <x:f>COUNTIFS($H$2:$H$1201,"&gt;"&amp;H504)+COUNTIFS($H$2:H504,H504)</x:f>
        <x:v>317</x:v>
      </x:c>
      <x:c r="K504" s="1"/>
      <x:c r="L504" s="1"/>
    </x:row>
    <x:row r="505" ht="22" customHeight="1">
      <x:c r="A505" s="8" t="n">
        <x:v>372</x:v>
      </x:c>
      <x:c r="B505" s="6" t="n">
        <x:v>45085</x:v>
      </x:c>
      <x:c r="C505" s="2" t="str">
        <x:v>Одежда</x:v>
      </x:c>
      <x:c r="D505" s="2" t="str">
        <x:v>Куртка</x:v>
      </x:c>
      <x:c r="E505" s="7" t="n">
        <x:v>35878.55</x:v>
      </x:c>
      <x:c r="F505" s="9" t="n">
        <x:v>4</x:v>
      </x:c>
      <x:c r="G505" s="2" t="str">
        <x:v>Новосибирск</x:v>
      </x:c>
      <x:c r="H505" s="7" t="n">
        <x:f>E505*F505</x:f>
        <x:v>143514.2</x:v>
      </x:c>
      <x:c r="I505" s="2" t="str">
        <x:f>TEXT(B505,"yyyy-mm")</x:f>
        <x:v>2023-06</x:v>
      </x:c>
      <x:c r="J505" s="8" t="n">
        <x:f>COUNTIFS($H$2:$H$1201,"&gt;"&amp;H505)+COUNTIFS($H$2:H505,H505)</x:f>
        <x:v>871</x:v>
      </x:c>
      <x:c r="K505" s="1"/>
      <x:c r="L505" s="1"/>
    </x:row>
    <x:row r="506" ht="22" customHeight="1">
      <x:c r="A506" s="8" t="n">
        <x:v>1022</x:v>
      </x:c>
      <x:c r="B506" s="6" t="n">
        <x:v>45085</x:v>
      </x:c>
      <x:c r="C506" s="2" t="str">
        <x:v>Одежда</x:v>
      </x:c>
      <x:c r="D506" s="2" t="str">
        <x:v>Джинсы</x:v>
      </x:c>
      <x:c r="E506" s="7" t="n">
        <x:v>61455.67</x:v>
      </x:c>
      <x:c r="F506" s="9" t="n">
        <x:v>5</x:v>
      </x:c>
      <x:c r="G506" s="2" t="str">
        <x:v>Екатеринбург</x:v>
      </x:c>
      <x:c r="H506" s="7" t="n">
        <x:f>E506*F506</x:f>
        <x:v>307278.35</x:v>
      </x:c>
      <x:c r="I506" s="2" t="str">
        <x:f>TEXT(B506,"yyyy-mm")</x:f>
        <x:v>2023-06</x:v>
      </x:c>
      <x:c r="J506" s="8" t="n">
        <x:f>COUNTIFS($H$2:$H$1201,"&gt;"&amp;H506)+COUNTIFS($H$2:H506,H506)</x:f>
        <x:v>628</x:v>
      </x:c>
      <x:c r="K506" s="1"/>
      <x:c r="L506" s="1"/>
    </x:row>
    <x:row r="507" ht="22" customHeight="1">
      <x:c r="A507" s="8" t="n">
        <x:v>70</x:v>
      </x:c>
      <x:c r="B507" s="6" t="n">
        <x:v>45087</x:v>
      </x:c>
      <x:c r="C507" s="2" t="str">
        <x:v>Товары для дома</x:v>
      </x:c>
      <x:c r="D507" s="2" t="str">
        <x:v>Подушка</x:v>
      </x:c>
      <x:c r="E507" s="7" t="n">
        <x:v>86180.05</x:v>
      </x:c>
      <x:c r="F507" s="9" t="n">
        <x:v>5</x:v>
      </x:c>
      <x:c r="G507" s="2" t="str">
        <x:v>Екатеринбург</x:v>
      </x:c>
      <x:c r="H507" s="7" t="n">
        <x:f>E507*F507</x:f>
        <x:v>430900.25</x:v>
      </x:c>
      <x:c r="I507" s="2" t="str">
        <x:f>TEXT(B507,"yyyy-mm")</x:f>
        <x:v>2023-06</x:v>
      </x:c>
      <x:c r="J507" s="8" t="n">
        <x:f>COUNTIFS($H$2:$H$1201,"&gt;"&amp;H507)+COUNTIFS($H$2:H507,H507)</x:f>
        <x:v>481</x:v>
      </x:c>
      <x:c r="K507" s="1"/>
      <x:c r="L507" s="1"/>
    </x:row>
    <x:row r="508" ht="22" customHeight="1">
      <x:c r="A508" s="8" t="n">
        <x:v>209</x:v>
      </x:c>
      <x:c r="B508" s="6" t="n">
        <x:v>45087</x:v>
      </x:c>
      <x:c r="C508" s="2" t="str">
        <x:v>Электроника</x:v>
      </x:c>
      <x:c r="D508" s="2" t="str">
        <x:v>Наушники</x:v>
      </x:c>
      <x:c r="E508" s="7" t="n">
        <x:v>75345.73</x:v>
      </x:c>
      <x:c r="F508" s="9" t="n">
        <x:v>10</x:v>
      </x:c>
      <x:c r="G508" s="2" t="str">
        <x:v>Казань</x:v>
      </x:c>
      <x:c r="H508" s="7" t="n">
        <x:f>E508*F508</x:f>
        <x:v>753457.2999999999</x:v>
      </x:c>
      <x:c r="I508" s="2" t="str">
        <x:f>TEXT(B508,"yyyy-mm")</x:f>
        <x:v>2023-06</x:v>
      </x:c>
      <x:c r="J508" s="8" t="n">
        <x:f>COUNTIFS($H$2:$H$1201,"&gt;"&amp;H508)+COUNTIFS($H$2:H508,H508)</x:f>
        <x:v>226</x:v>
      </x:c>
      <x:c r="K508" s="1"/>
      <x:c r="L508" s="1"/>
    </x:row>
    <x:row r="509" ht="22" customHeight="1">
      <x:c r="A509" s="8" t="n">
        <x:v>302</x:v>
      </x:c>
      <x:c r="B509" s="6" t="n">
        <x:v>45087</x:v>
      </x:c>
      <x:c r="C509" s="2" t="str">
        <x:v>Товары для дома</x:v>
      </x:c>
      <x:c r="D509" s="2" t="str">
        <x:v>Полотенце</x:v>
      </x:c>
      <x:c r="E509" s="7" t="n">
        <x:v>77518.2</x:v>
      </x:c>
      <x:c r="F509" s="9" t="n">
        <x:v>10</x:v>
      </x:c>
      <x:c r="G509" s="2" t="str">
        <x:v>Московская область</x:v>
      </x:c>
      <x:c r="H509" s="7" t="n">
        <x:f>E509*F509</x:f>
        <x:v>775182</x:v>
      </x:c>
      <x:c r="I509" s="2" t="str">
        <x:f>TEXT(B509,"yyyy-mm")</x:f>
        <x:v>2023-06</x:v>
      </x:c>
      <x:c r="J509" s="8" t="n">
        <x:f>COUNTIFS($H$2:$H$1201,"&gt;"&amp;H509)+COUNTIFS($H$2:H509,H509)</x:f>
        <x:v>208</x:v>
      </x:c>
      <x:c r="K509" s="1"/>
      <x:c r="L509" s="1"/>
    </x:row>
    <x:row r="510" ht="22" customHeight="1">
      <x:c r="A510" s="8" t="n">
        <x:v>529</x:v>
      </x:c>
      <x:c r="B510" s="6" t="n">
        <x:v>45087</x:v>
      </x:c>
      <x:c r="C510" s="2" t="str">
        <x:v>Товары для дома</x:v>
      </x:c>
      <x:c r="D510" s="2" t="str">
        <x:v>Кружка</x:v>
      </x:c>
      <x:c r="E510" s="7" t="n">
        <x:v>17739.57</x:v>
      </x:c>
      <x:c r="F510" s="9" t="n">
        <x:v>2</x:v>
      </x:c>
      <x:c r="G510" s="2" t="str">
        <x:v>Казань</x:v>
      </x:c>
      <x:c r="H510" s="7" t="n">
        <x:f>E510*F510</x:f>
        <x:v>35479.14</x:v>
      </x:c>
      <x:c r="I510" s="2" t="str">
        <x:f>TEXT(B510,"yyyy-mm")</x:f>
        <x:v>2023-06</x:v>
      </x:c>
      <x:c r="J510" s="8" t="n">
        <x:f>COUNTIFS($H$2:$H$1201,"&gt;"&amp;H510)+COUNTIFS($H$2:H510,H510)</x:f>
        <x:v>1111</x:v>
      </x:c>
      <x:c r="K510" s="1"/>
      <x:c r="L510" s="1"/>
    </x:row>
    <x:row r="511" ht="22" customHeight="1">
      <x:c r="A511" s="8" t="n">
        <x:v>647</x:v>
      </x:c>
      <x:c r="B511" s="6" t="n">
        <x:v>45087</x:v>
      </x:c>
      <x:c r="C511" s="2" t="str">
        <x:v>Одежда</x:v>
      </x:c>
      <x:c r="D511" s="2" t="str">
        <x:v>Футболка</x:v>
      </x:c>
      <x:c r="E511" s="7" t="n">
        <x:v>39061.35</x:v>
      </x:c>
      <x:c r="F511" s="9" t="n">
        <x:v>4</x:v>
      </x:c>
      <x:c r="G511" s="2" t="str">
        <x:v>Московская область</x:v>
      </x:c>
      <x:c r="H511" s="7" t="n">
        <x:f>E511*F511</x:f>
        <x:v>156245.4</x:v>
      </x:c>
      <x:c r="I511" s="2" t="str">
        <x:f>TEXT(B511,"yyyy-mm")</x:f>
        <x:v>2023-06</x:v>
      </x:c>
      <x:c r="J511" s="8" t="n">
        <x:f>COUNTIFS($H$2:$H$1201,"&gt;"&amp;H511)+COUNTIFS($H$2:H511,H511)</x:f>
        <x:v>843</x:v>
      </x:c>
      <x:c r="K511" s="1"/>
      <x:c r="L511" s="1"/>
    </x:row>
    <x:row r="512" ht="22" customHeight="1">
      <x:c r="A512" s="8" t="n">
        <x:v>744</x:v>
      </x:c>
      <x:c r="B512" s="6" t="n">
        <x:v>45087</x:v>
      </x:c>
      <x:c r="C512" s="2" t="str">
        <x:v>Товары для дома</x:v>
      </x:c>
      <x:c r="D512" s="2" t="str">
        <x:v>Плед</x:v>
      </x:c>
      <x:c r="E512" s="7" t="n">
        <x:v>19167.36</x:v>
      </x:c>
      <x:c r="F512" s="9" t="n">
        <x:v>8</x:v>
      </x:c>
      <x:c r="G512" s="2" t="str">
        <x:v>Московская область</x:v>
      </x:c>
      <x:c r="H512" s="7" t="n">
        <x:f>E512*F512</x:f>
        <x:v>153338.88</x:v>
      </x:c>
      <x:c r="I512" s="2" t="str">
        <x:f>TEXT(B512,"yyyy-mm")</x:f>
        <x:v>2023-06</x:v>
      </x:c>
      <x:c r="J512" s="8" t="n">
        <x:f>COUNTIFS($H$2:$H$1201,"&gt;"&amp;H512)+COUNTIFS($H$2:H512,H512)</x:f>
        <x:v>848</x:v>
      </x:c>
      <x:c r="K512" s="1"/>
      <x:c r="L512" s="1"/>
    </x:row>
    <x:row r="513" ht="22" customHeight="1">
      <x:c r="A513" s="8" t="n">
        <x:v>139</x:v>
      </x:c>
      <x:c r="B513" s="6" t="n">
        <x:v>45088</x:v>
      </x:c>
      <x:c r="C513" s="2" t="str">
        <x:v>Одежда</x:v>
      </x:c>
      <x:c r="D513" s="2" t="str">
        <x:v>Куртка</x:v>
      </x:c>
      <x:c r="E513" s="7" t="n">
        <x:v>121480.54</x:v>
      </x:c>
      <x:c r="F513" s="9" t="n">
        <x:v>6</x:v>
      </x:c>
      <x:c r="G513" s="2" t="str">
        <x:v>Москва</x:v>
      </x:c>
      <x:c r="H513" s="7" t="n">
        <x:f>E513*F513</x:f>
        <x:v>728883.24</x:v>
      </x:c>
      <x:c r="I513" s="2" t="str">
        <x:f>TEXT(B513,"yyyy-mm")</x:f>
        <x:v>2023-06</x:v>
      </x:c>
      <x:c r="J513" s="8" t="n">
        <x:f>COUNTIFS($H$2:$H$1201,"&gt;"&amp;H513)+COUNTIFS($H$2:H513,H513)</x:f>
        <x:v>243</x:v>
      </x:c>
      <x:c r="K513" s="1"/>
      <x:c r="L513" s="1"/>
    </x:row>
    <x:row r="514" ht="22" customHeight="1">
      <x:c r="A514" s="8" t="n">
        <x:v>347</x:v>
      </x:c>
      <x:c r="B514" s="6" t="n">
        <x:v>45088</x:v>
      </x:c>
      <x:c r="C514" s="2" t="str">
        <x:v>Товары для дома</x:v>
      </x:c>
      <x:c r="D514" s="2" t="str">
        <x:v>Плед</x:v>
      </x:c>
      <x:c r="E514" s="7" t="n">
        <x:v>140220.14</x:v>
      </x:c>
      <x:c r="F514" s="9" t="n">
        <x:v>8</x:v>
      </x:c>
      <x:c r="G514" s="2" t="str">
        <x:v>Санкт‑Петербург</x:v>
      </x:c>
      <x:c r="H514" s="7" t="n">
        <x:f>E514*F514</x:f>
        <x:v>1121761.12</x:v>
      </x:c>
      <x:c r="I514" s="2" t="str">
        <x:f>TEXT(B514,"yyyy-mm")</x:f>
        <x:v>2023-06</x:v>
      </x:c>
      <x:c r="J514" s="8" t="n">
        <x:f>COUNTIFS($H$2:$H$1201,"&gt;"&amp;H514)+COUNTIFS($H$2:H514,H514)</x:f>
        <x:v>59</x:v>
      </x:c>
      <x:c r="K514" s="1"/>
      <x:c r="L514" s="1"/>
    </x:row>
    <x:row r="515" ht="22" customHeight="1">
      <x:c r="A515" s="8" t="n">
        <x:v>469</x:v>
      </x:c>
      <x:c r="B515" s="6" t="n">
        <x:v>45088</x:v>
      </x:c>
      <x:c r="C515" s="2" t="str">
        <x:v>Товары для дома</x:v>
      </x:c>
      <x:c r="D515" s="2" t="str">
        <x:v>Плед</x:v>
      </x:c>
      <x:c r="E515" s="7" t="n">
        <x:v>33143.87</x:v>
      </x:c>
      <x:c r="F515" s="9" t="n">
        <x:v>8</x:v>
      </x:c>
      <x:c r="G515" s="2" t="str">
        <x:v>Казань</x:v>
      </x:c>
      <x:c r="H515" s="7" t="n">
        <x:f>E515*F515</x:f>
        <x:v>265150.96</x:v>
      </x:c>
      <x:c r="I515" s="2" t="str">
        <x:f>TEXT(B515,"yyyy-mm")</x:f>
        <x:v>2023-06</x:v>
      </x:c>
      <x:c r="J515" s="8" t="n">
        <x:f>COUNTIFS($H$2:$H$1201,"&gt;"&amp;H515)+COUNTIFS($H$2:H515,H515)</x:f>
        <x:v>674</x:v>
      </x:c>
      <x:c r="K515" s="1"/>
      <x:c r="L515" s="1"/>
    </x:row>
    <x:row r="516" ht="22" customHeight="1">
      <x:c r="A516" s="8" t="n">
        <x:v>773</x:v>
      </x:c>
      <x:c r="B516" s="6" t="n">
        <x:v>45088</x:v>
      </x:c>
      <x:c r="C516" s="2" t="str">
        <x:v>Товары для дома</x:v>
      </x:c>
      <x:c r="D516" s="2" t="str">
        <x:v>Подушка</x:v>
      </x:c>
      <x:c r="E516" s="7" t="n">
        <x:v>55818.31</x:v>
      </x:c>
      <x:c r="F516" s="9" t="n">
        <x:v>4</x:v>
      </x:c>
      <x:c r="G516" s="2" t="str">
        <x:v>Новосибирск</x:v>
      </x:c>
      <x:c r="H516" s="7" t="n">
        <x:f>E516*F516</x:f>
        <x:v>223273.24</x:v>
      </x:c>
      <x:c r="I516" s="2" t="str">
        <x:f>TEXT(B516,"yyyy-mm")</x:f>
        <x:v>2023-06</x:v>
      </x:c>
      <x:c r="J516" s="8" t="n">
        <x:f>COUNTIFS($H$2:$H$1201,"&gt;"&amp;H516)+COUNTIFS($H$2:H516,H516)</x:f>
        <x:v>748</x:v>
      </x:c>
      <x:c r="K516" s="1"/>
      <x:c r="L516" s="1"/>
    </x:row>
    <x:row r="517" ht="22" customHeight="1">
      <x:c r="A517" s="8" t="n">
        <x:v>852</x:v>
      </x:c>
      <x:c r="B517" s="6" t="n">
        <x:v>45088</x:v>
      </x:c>
      <x:c r="C517" s="2" t="str">
        <x:v>Электроника</x:v>
      </x:c>
      <x:c r="D517" s="2" t="str">
        <x:v>Ноутбук</x:v>
      </x:c>
      <x:c r="E517" s="7" t="n">
        <x:v>77854.78</x:v>
      </x:c>
      <x:c r="F517" s="9" t="n">
        <x:v>10</x:v>
      </x:c>
      <x:c r="G517" s="2" t="str">
        <x:v>Екатеринбург</x:v>
      </x:c>
      <x:c r="H517" s="7" t="n">
        <x:f>E517*F517</x:f>
        <x:v>778547.8</x:v>
      </x:c>
      <x:c r="I517" s="2" t="str">
        <x:f>TEXT(B517,"yyyy-mm")</x:f>
        <x:v>2023-06</x:v>
      </x:c>
      <x:c r="J517" s="8" t="n">
        <x:f>COUNTIFS($H$2:$H$1201,"&gt;"&amp;H517)+COUNTIFS($H$2:H517,H517)</x:f>
        <x:v>207</x:v>
      </x:c>
      <x:c r="K517" s="1"/>
      <x:c r="L517" s="1"/>
    </x:row>
    <x:row r="518" ht="22" customHeight="1">
      <x:c r="A518" s="8" t="n">
        <x:v>854</x:v>
      </x:c>
      <x:c r="B518" s="6" t="n">
        <x:v>45088</x:v>
      </x:c>
      <x:c r="C518" s="2" t="str">
        <x:v>Продукты</x:v>
      </x:c>
      <x:c r="D518" s="2" t="str">
        <x:v>Кофе</x:v>
      </x:c>
      <x:c r="E518" s="7" t="n">
        <x:v>84786.32</x:v>
      </x:c>
      <x:c r="F518" s="9" t="n">
        <x:v>9</x:v>
      </x:c>
      <x:c r="G518" s="2" t="str">
        <x:v>Казань</x:v>
      </x:c>
      <x:c r="H518" s="7" t="n">
        <x:f>E518*F518</x:f>
        <x:v>763076.8800000001</x:v>
      </x:c>
      <x:c r="I518" s="2" t="str">
        <x:f>TEXT(B518,"yyyy-mm")</x:f>
        <x:v>2023-06</x:v>
      </x:c>
      <x:c r="J518" s="8" t="n">
        <x:f>COUNTIFS($H$2:$H$1201,"&gt;"&amp;H518)+COUNTIFS($H$2:H518,H518)</x:f>
        <x:v>220</x:v>
      </x:c>
      <x:c r="K518" s="1"/>
      <x:c r="L518" s="1"/>
    </x:row>
    <x:row r="519" ht="22" customHeight="1">
      <x:c r="A519" s="8" t="n">
        <x:v>924</x:v>
      </x:c>
      <x:c r="B519" s="6" t="n">
        <x:v>45088</x:v>
      </x:c>
      <x:c r="C519" s="2" t="str">
        <x:v>Продукты</x:v>
      </x:c>
      <x:c r="D519" s="2" t="str">
        <x:v>Молоко</x:v>
      </x:c>
      <x:c r="E519" s="7" t="n">
        <x:v>26385.25</x:v>
      </x:c>
      <x:c r="F519" s="9" t="n">
        <x:v>7</x:v>
      </x:c>
      <x:c r="G519" s="2" t="str">
        <x:v>Казань</x:v>
      </x:c>
      <x:c r="H519" s="7" t="n">
        <x:f>E519*F519</x:f>
        <x:v>184696.75</x:v>
      </x:c>
      <x:c r="I519" s="2" t="str">
        <x:f>TEXT(B519,"yyyy-mm")</x:f>
        <x:v>2023-06</x:v>
      </x:c>
      <x:c r="J519" s="8" t="n">
        <x:f>COUNTIFS($H$2:$H$1201,"&gt;"&amp;H519)+COUNTIFS($H$2:H519,H519)</x:f>
        <x:v>809</x:v>
      </x:c>
      <x:c r="K519" s="1"/>
      <x:c r="L519" s="1"/>
    </x:row>
    <x:row r="520" ht="22" customHeight="1">
      <x:c r="A520" s="8" t="n">
        <x:v>992</x:v>
      </x:c>
      <x:c r="B520" s="6" t="n">
        <x:v>45088</x:v>
      </x:c>
      <x:c r="C520" s="2" t="str">
        <x:v>Товары для дома</x:v>
      </x:c>
      <x:c r="D520" s="2" t="str">
        <x:v>Кружка</x:v>
      </x:c>
      <x:c r="E520" s="7" t="n">
        <x:v>90382.63</x:v>
      </x:c>
      <x:c r="F520" s="9" t="n">
        <x:v>8</x:v>
      </x:c>
      <x:c r="G520" s="2" t="str">
        <x:v>Санкт‑Петербург</x:v>
      </x:c>
      <x:c r="H520" s="7" t="n">
        <x:f>E520*F520</x:f>
        <x:v>723061.04</x:v>
      </x:c>
      <x:c r="I520" s="2" t="str">
        <x:f>TEXT(B520,"yyyy-mm")</x:f>
        <x:v>2023-06</x:v>
      </x:c>
      <x:c r="J520" s="8" t="n">
        <x:f>COUNTIFS($H$2:$H$1201,"&gt;"&amp;H520)+COUNTIFS($H$2:H520,H520)</x:f>
        <x:v>249</x:v>
      </x:c>
      <x:c r="K520" s="1"/>
      <x:c r="L520" s="1"/>
    </x:row>
    <x:row r="521" ht="22" customHeight="1">
      <x:c r="A521" s="8" t="n">
        <x:v>396</x:v>
      </x:c>
      <x:c r="B521" s="6" t="n">
        <x:v>45089</x:v>
      </x:c>
      <x:c r="C521" s="2" t="str">
        <x:v>Электроника</x:v>
      </x:c>
      <x:c r="D521" s="2" t="str">
        <x:v>Планшет</x:v>
      </x:c>
      <x:c r="E521" s="7" t="n">
        <x:v>91499.44</x:v>
      </x:c>
      <x:c r="F521" s="9" t="n">
        <x:v>8</x:v>
      </x:c>
      <x:c r="G521" s="2" t="str">
        <x:v>Казань</x:v>
      </x:c>
      <x:c r="H521" s="7" t="n">
        <x:f>E521*F521</x:f>
        <x:v>731995.52</x:v>
      </x:c>
      <x:c r="I521" s="2" t="str">
        <x:f>TEXT(B521,"yyyy-mm")</x:f>
        <x:v>2023-06</x:v>
      </x:c>
      <x:c r="J521" s="8" t="n">
        <x:f>COUNTIFS($H$2:$H$1201,"&gt;"&amp;H521)+COUNTIFS($H$2:H521,H521)</x:f>
        <x:v>240</x:v>
      </x:c>
      <x:c r="K521" s="1"/>
      <x:c r="L521" s="1"/>
    </x:row>
    <x:row r="522" ht="22" customHeight="1">
      <x:c r="A522" s="8" t="n">
        <x:v>1012</x:v>
      </x:c>
      <x:c r="B522" s="6" t="n">
        <x:v>45089</x:v>
      </x:c>
      <x:c r="C522" s="2" t="str">
        <x:v>Электроника</x:v>
      </x:c>
      <x:c r="D522" s="2" t="str">
        <x:v>Ноутбук</x:v>
      </x:c>
      <x:c r="E522" s="7" t="n">
        <x:v>84588.9</x:v>
      </x:c>
      <x:c r="F522" s="9" t="n">
        <x:v>5</x:v>
      </x:c>
      <x:c r="G522" s="2" t="str">
        <x:v>Московская область</x:v>
      </x:c>
      <x:c r="H522" s="7" t="n">
        <x:f>E522*F522</x:f>
        <x:v>422944.5</x:v>
      </x:c>
      <x:c r="I522" s="2" t="str">
        <x:f>TEXT(B522,"yyyy-mm")</x:f>
        <x:v>2023-06</x:v>
      </x:c>
      <x:c r="J522" s="8" t="n">
        <x:f>COUNTIFS($H$2:$H$1201,"&gt;"&amp;H522)+COUNTIFS($H$2:H522,H522)</x:f>
        <x:v>492</x:v>
      </x:c>
      <x:c r="K522" s="1"/>
      <x:c r="L522" s="1"/>
    </x:row>
    <x:row r="523" ht="22" customHeight="1">
      <x:c r="A523" s="8" t="n">
        <x:v>63</x:v>
      </x:c>
      <x:c r="B523" s="6" t="n">
        <x:v>45090</x:v>
      </x:c>
      <x:c r="C523" s="2" t="str">
        <x:v>Продукты</x:v>
      </x:c>
      <x:c r="D523" s="2" t="str">
        <x:v>Кофе</x:v>
      </x:c>
      <x:c r="E523" s="7" t="n">
        <x:v>86984.79</x:v>
      </x:c>
      <x:c r="F523" s="9" t="n">
        <x:v>10</x:v>
      </x:c>
      <x:c r="G523" s="2" t="str">
        <x:v>Новосибирск</x:v>
      </x:c>
      <x:c r="H523" s="7" t="n">
        <x:f>E523*F523</x:f>
        <x:v>869847.8999999999</x:v>
      </x:c>
      <x:c r="I523" s="2" t="str">
        <x:f>TEXT(B523,"yyyy-mm")</x:f>
        <x:v>2023-06</x:v>
      </x:c>
      <x:c r="J523" s="8" t="n">
        <x:f>COUNTIFS($H$2:$H$1201,"&gt;"&amp;H523)+COUNTIFS($H$2:H523,H523)</x:f>
        <x:v>153</x:v>
      </x:c>
      <x:c r="K523" s="1"/>
      <x:c r="L523" s="1"/>
    </x:row>
    <x:row r="524" ht="22" customHeight="1">
      <x:c r="A524" s="8" t="n">
        <x:v>483</x:v>
      </x:c>
      <x:c r="B524" s="6" t="n">
        <x:v>45090</x:v>
      </x:c>
      <x:c r="C524" s="2" t="str">
        <x:v>Товары для дома</x:v>
      </x:c>
      <x:c r="D524" s="2" t="str">
        <x:v>Полотенце</x:v>
      </x:c>
      <x:c r="E524" s="7" t="n">
        <x:v>19535.25</x:v>
      </x:c>
      <x:c r="F524" s="9" t="n">
        <x:v>4</x:v>
      </x:c>
      <x:c r="G524" s="2" t="str">
        <x:v>Екатеринбург</x:v>
      </x:c>
      <x:c r="H524" s="7" t="n">
        <x:f>E524*F524</x:f>
        <x:v>78141</x:v>
      </x:c>
      <x:c r="I524" s="2" t="str">
        <x:f>TEXT(B524,"yyyy-mm")</x:f>
        <x:v>2023-06</x:v>
      </x:c>
      <x:c r="J524" s="8" t="n">
        <x:f>COUNTIFS($H$2:$H$1201,"&gt;"&amp;H524)+COUNTIFS($H$2:H524,H524)</x:f>
        <x:v>1021</x:v>
      </x:c>
      <x:c r="K524" s="1"/>
      <x:c r="L524" s="1"/>
    </x:row>
    <x:row r="525" ht="22" customHeight="1">
      <x:c r="A525" s="8" t="n">
        <x:v>557</x:v>
      </x:c>
      <x:c r="B525" s="6" t="n">
        <x:v>45090</x:v>
      </x:c>
      <x:c r="C525" s="2" t="str">
        <x:v>Товары для дома</x:v>
      </x:c>
      <x:c r="D525" s="2" t="str">
        <x:v>Полотенце</x:v>
      </x:c>
      <x:c r="E525" s="7" t="n">
        <x:v>86120.44</x:v>
      </x:c>
      <x:c r="F525" s="9" t="n">
        <x:v>3</x:v>
      </x:c>
      <x:c r="G525" s="2" t="str">
        <x:v>Казань</x:v>
      </x:c>
      <x:c r="H525" s="7" t="n">
        <x:f>E525*F525</x:f>
        <x:v>258361.32</x:v>
      </x:c>
      <x:c r="I525" s="2" t="str">
        <x:f>TEXT(B525,"yyyy-mm")</x:f>
        <x:v>2023-06</x:v>
      </x:c>
      <x:c r="J525" s="8" t="n">
        <x:f>COUNTIFS($H$2:$H$1201,"&gt;"&amp;H525)+COUNTIFS($H$2:H525,H525)</x:f>
        <x:v>687</x:v>
      </x:c>
      <x:c r="K525" s="1"/>
      <x:c r="L525" s="1"/>
    </x:row>
    <x:row r="526" ht="22" customHeight="1">
      <x:c r="A526" s="8" t="n">
        <x:v>651</x:v>
      </x:c>
      <x:c r="B526" s="6" t="n">
        <x:v>45090</x:v>
      </x:c>
      <x:c r="C526" s="2" t="str">
        <x:v>Продукты</x:v>
      </x:c>
      <x:c r="D526" s="2" t="str">
        <x:v>Кофе</x:v>
      </x:c>
      <x:c r="E526" s="7" t="n">
        <x:v>147166.26</x:v>
      </x:c>
      <x:c r="F526" s="9" t="n">
        <x:v>3</x:v>
      </x:c>
      <x:c r="G526" s="2" t="str">
        <x:v>Новосибирск</x:v>
      </x:c>
      <x:c r="H526" s="7" t="n">
        <x:f>E526*F526</x:f>
        <x:v>441498.78</x:v>
      </x:c>
      <x:c r="I526" s="2" t="str">
        <x:f>TEXT(B526,"yyyy-mm")</x:f>
        <x:v>2023-06</x:v>
      </x:c>
      <x:c r="J526" s="8" t="n">
        <x:f>COUNTIFS($H$2:$H$1201,"&gt;"&amp;H526)+COUNTIFS($H$2:H526,H526)</x:f>
        <x:v>464</x:v>
      </x:c>
      <x:c r="K526" s="1"/>
      <x:c r="L526" s="1"/>
    </x:row>
    <x:row r="527" ht="22" customHeight="1">
      <x:c r="A527" s="8" t="n">
        <x:v>127</x:v>
      </x:c>
      <x:c r="B527" s="6" t="n">
        <x:v>45092</x:v>
      </x:c>
      <x:c r="C527" s="2" t="str">
        <x:v>Электроника</x:v>
      </x:c>
      <x:c r="D527" s="2" t="str">
        <x:v>Планшет</x:v>
      </x:c>
      <x:c r="E527" s="7" t="n">
        <x:v>101352.19</x:v>
      </x:c>
      <x:c r="F527" s="9" t="n">
        <x:v>6</x:v>
      </x:c>
      <x:c r="G527" s="2" t="str">
        <x:v>Казань</x:v>
      </x:c>
      <x:c r="H527" s="7" t="n">
        <x:f>E527*F527</x:f>
        <x:v>608113.14</x:v>
      </x:c>
      <x:c r="I527" s="2" t="str">
        <x:f>TEXT(B527,"yyyy-mm")</x:f>
        <x:v>2023-06</x:v>
      </x:c>
      <x:c r="J527" s="8" t="n">
        <x:f>COUNTIFS($H$2:$H$1201,"&gt;"&amp;H527)+COUNTIFS($H$2:H527,H527)</x:f>
        <x:v>313</x:v>
      </x:c>
      <x:c r="K527" s="1"/>
      <x:c r="L527" s="1"/>
    </x:row>
    <x:row r="528" ht="22" customHeight="1">
      <x:c r="A528" s="8" t="n">
        <x:v>128</x:v>
      </x:c>
      <x:c r="B528" s="6" t="n">
        <x:v>45092</x:v>
      </x:c>
      <x:c r="C528" s="2" t="str">
        <x:v>Электроника</x:v>
      </x:c>
      <x:c r="D528" s="2" t="str">
        <x:v>Планшет</x:v>
      </x:c>
      <x:c r="E528" s="7" t="n">
        <x:v>18539.35</x:v>
      </x:c>
      <x:c r="F528" s="9" t="n">
        <x:v>10</x:v>
      </x:c>
      <x:c r="G528" s="2" t="str">
        <x:v>Казань</x:v>
      </x:c>
      <x:c r="H528" s="7" t="n">
        <x:f>E528*F528</x:f>
        <x:v>185393.5</x:v>
      </x:c>
      <x:c r="I528" s="2" t="str">
        <x:f>TEXT(B528,"yyyy-mm")</x:f>
        <x:v>2023-06</x:v>
      </x:c>
      <x:c r="J528" s="8" t="n">
        <x:f>COUNTIFS($H$2:$H$1201,"&gt;"&amp;H528)+COUNTIFS($H$2:H528,H528)</x:f>
        <x:v>808</x:v>
      </x:c>
      <x:c r="K528" s="1"/>
      <x:c r="L528" s="1"/>
    </x:row>
    <x:row r="529" ht="22" customHeight="1">
      <x:c r="A529" s="8" t="n">
        <x:v>571</x:v>
      </x:c>
      <x:c r="B529" s="6" t="n">
        <x:v>45092</x:v>
      </x:c>
      <x:c r="C529" s="2" t="str">
        <x:v>Продукты</x:v>
      </x:c>
      <x:c r="D529" s="2" t="str">
        <x:v>Кофе</x:v>
      </x:c>
      <x:c r="E529" s="7" t="n">
        <x:v>23385.92</x:v>
      </x:c>
      <x:c r="F529" s="9" t="n">
        <x:v>9</x:v>
      </x:c>
      <x:c r="G529" s="2" t="str">
        <x:v>Екатеринбург</x:v>
      </x:c>
      <x:c r="H529" s="7" t="n">
        <x:f>E529*F529</x:f>
        <x:v>210473.27999999997</x:v>
      </x:c>
      <x:c r="I529" s="2" t="str">
        <x:f>TEXT(B529,"yyyy-mm")</x:f>
        <x:v>2023-06</x:v>
      </x:c>
      <x:c r="J529" s="8" t="n">
        <x:f>COUNTIFS($H$2:$H$1201,"&gt;"&amp;H529)+COUNTIFS($H$2:H529,H529)</x:f>
        <x:v>776</x:v>
      </x:c>
      <x:c r="K529" s="1"/>
      <x:c r="L529" s="1"/>
    </x:row>
    <x:row r="530" ht="22" customHeight="1">
      <x:c r="A530" s="8" t="n">
        <x:v>342</x:v>
      </x:c>
      <x:c r="B530" s="6" t="n">
        <x:v>45093</x:v>
      </x:c>
      <x:c r="C530" s="2" t="str">
        <x:v>Продукты</x:v>
      </x:c>
      <x:c r="D530" s="2" t="str">
        <x:v>Кофе</x:v>
      </x:c>
      <x:c r="E530" s="7" t="n">
        <x:v>13648.43</x:v>
      </x:c>
      <x:c r="F530" s="9" t="n">
        <x:v>4</x:v>
      </x:c>
      <x:c r="G530" s="2" t="str">
        <x:v>Казань</x:v>
      </x:c>
      <x:c r="H530" s="7" t="n">
        <x:f>E530*F530</x:f>
        <x:v>54593.72</x:v>
      </x:c>
      <x:c r="I530" s="2" t="str">
        <x:f>TEXT(B530,"yyyy-mm")</x:f>
        <x:v>2023-06</x:v>
      </x:c>
      <x:c r="J530" s="8" t="n">
        <x:f>COUNTIFS($H$2:$H$1201,"&gt;"&amp;H530)+COUNTIFS($H$2:H530,H530)</x:f>
        <x:v>1076</x:v>
      </x:c>
      <x:c r="K530" s="1"/>
      <x:c r="L530" s="1"/>
    </x:row>
    <x:row r="531" ht="22" customHeight="1">
      <x:c r="A531" s="8" t="n">
        <x:v>606</x:v>
      </x:c>
      <x:c r="B531" s="6" t="n">
        <x:v>45093</x:v>
      </x:c>
      <x:c r="C531" s="2" t="str">
        <x:v>Товары для дома</x:v>
      </x:c>
      <x:c r="D531" s="2" t="str">
        <x:v>Кружка</x:v>
      </x:c>
      <x:c r="E531" s="7" t="n">
        <x:v>75223.97</x:v>
      </x:c>
      <x:c r="F531" s="9" t="n">
        <x:v>7</x:v>
      </x:c>
      <x:c r="G531" s="2" t="str">
        <x:v>Екатеринбург</x:v>
      </x:c>
      <x:c r="H531" s="7" t="n">
        <x:f>E531*F531</x:f>
        <x:v>526567.79</x:v>
      </x:c>
      <x:c r="I531" s="2" t="str">
        <x:f>TEXT(B531,"yyyy-mm")</x:f>
        <x:v>2023-06</x:v>
      </x:c>
      <x:c r="J531" s="8" t="n">
        <x:f>COUNTIFS($H$2:$H$1201,"&gt;"&amp;H531)+COUNTIFS($H$2:H531,H531)</x:f>
        <x:v>388</x:v>
      </x:c>
      <x:c r="K531" s="1"/>
      <x:c r="L531" s="1"/>
    </x:row>
    <x:row r="532" ht="22" customHeight="1">
      <x:c r="A532" s="8" t="n">
        <x:v>725</x:v>
      </x:c>
      <x:c r="B532" s="6" t="n">
        <x:v>45093</x:v>
      </x:c>
      <x:c r="C532" s="2" t="str">
        <x:v>Товары для дома</x:v>
      </x:c>
      <x:c r="D532" s="2" t="str">
        <x:v>Кружка</x:v>
      </x:c>
      <x:c r="E532" s="7" t="n">
        <x:v>39135.24</x:v>
      </x:c>
      <x:c r="F532" s="9" t="n">
        <x:v>3</x:v>
      </x:c>
      <x:c r="G532" s="2" t="str">
        <x:v>Казань</x:v>
      </x:c>
      <x:c r="H532" s="7" t="n">
        <x:f>E532*F532</x:f>
        <x:v>117405.72</x:v>
      </x:c>
      <x:c r="I532" s="2" t="str">
        <x:f>TEXT(B532,"yyyy-mm")</x:f>
        <x:v>2023-06</x:v>
      </x:c>
      <x:c r="J532" s="8" t="n">
        <x:f>COUNTIFS($H$2:$H$1201,"&gt;"&amp;H532)+COUNTIFS($H$2:H532,H532)</x:f>
        <x:v>934</x:v>
      </x:c>
      <x:c r="K532" s="1"/>
      <x:c r="L532" s="1"/>
    </x:row>
    <x:row r="533" ht="22" customHeight="1">
      <x:c r="A533" s="8" t="n">
        <x:v>887</x:v>
      </x:c>
      <x:c r="B533" s="6" t="n">
        <x:v>45093</x:v>
      </x:c>
      <x:c r="C533" s="2" t="str">
        <x:v>Одежда</x:v>
      </x:c>
      <x:c r="D533" s="2" t="str">
        <x:v>Кроссовки</x:v>
      </x:c>
      <x:c r="E533" s="7" t="n">
        <x:v>79525.79</x:v>
      </x:c>
      <x:c r="F533" s="9" t="n">
        <x:v>2</x:v>
      </x:c>
      <x:c r="G533" s="2" t="str">
        <x:v>Московская область</x:v>
      </x:c>
      <x:c r="H533" s="7" t="n">
        <x:f>E533*F533</x:f>
        <x:v>159051.58</x:v>
      </x:c>
      <x:c r="I533" s="2" t="str">
        <x:f>TEXT(B533,"yyyy-mm")</x:f>
        <x:v>2023-06</x:v>
      </x:c>
      <x:c r="J533" s="8" t="n">
        <x:f>COUNTIFS($H$2:$H$1201,"&gt;"&amp;H533)+COUNTIFS($H$2:H533,H533)</x:f>
        <x:v>840</x:v>
      </x:c>
      <x:c r="K533" s="1"/>
      <x:c r="L533" s="1"/>
    </x:row>
    <x:row r="534" ht="22" customHeight="1">
      <x:c r="A534" s="8" t="n">
        <x:v>1132</x:v>
      </x:c>
      <x:c r="B534" s="6" t="n">
        <x:v>45093</x:v>
      </x:c>
      <x:c r="C534" s="2" t="str">
        <x:v>Продукты</x:v>
      </x:c>
      <x:c r="D534" s="2" t="str">
        <x:v>Шоколад</x:v>
      </x:c>
      <x:c r="E534" s="7" t="n">
        <x:v>133180.18</x:v>
      </x:c>
      <x:c r="F534" s="9" t="n">
        <x:v>4</x:v>
      </x:c>
      <x:c r="G534" s="2" t="str">
        <x:v>Новосибирск</x:v>
      </x:c>
      <x:c r="H534" s="7" t="n">
        <x:f>E534*F534</x:f>
        <x:v>532720.72</x:v>
      </x:c>
      <x:c r="I534" s="2" t="str">
        <x:f>TEXT(B534,"yyyy-mm")</x:f>
        <x:v>2023-06</x:v>
      </x:c>
      <x:c r="J534" s="8" t="n">
        <x:f>COUNTIFS($H$2:$H$1201,"&gt;"&amp;H534)+COUNTIFS($H$2:H534,H534)</x:f>
        <x:v>382</x:v>
      </x:c>
      <x:c r="K534" s="1"/>
      <x:c r="L534" s="1"/>
    </x:row>
    <x:row r="535" ht="22" customHeight="1">
      <x:c r="A535" s="8" t="n">
        <x:v>537</x:v>
      </x:c>
      <x:c r="B535" s="6" t="n">
        <x:v>45094</x:v>
      </x:c>
      <x:c r="C535" s="2" t="str">
        <x:v>Электроника</x:v>
      </x:c>
      <x:c r="D535" s="2" t="str">
        <x:v>Смартфон</x:v>
      </x:c>
      <x:c r="E535" s="7" t="n">
        <x:v>132554.16</x:v>
      </x:c>
      <x:c r="F535" s="9" t="n">
        <x:v>4</x:v>
      </x:c>
      <x:c r="G535" s="2" t="str">
        <x:v>Москва</x:v>
      </x:c>
      <x:c r="H535" s="7" t="n">
        <x:f>E535*F535</x:f>
        <x:v>530216.64</x:v>
      </x:c>
      <x:c r="I535" s="2" t="str">
        <x:f>TEXT(B535,"yyyy-mm")</x:f>
        <x:v>2023-06</x:v>
      </x:c>
      <x:c r="J535" s="8" t="n">
        <x:f>COUNTIFS($H$2:$H$1201,"&gt;"&amp;H535)+COUNTIFS($H$2:H535,H535)</x:f>
        <x:v>383</x:v>
      </x:c>
      <x:c r="K535" s="1"/>
      <x:c r="L535" s="1"/>
    </x:row>
    <x:row r="536" ht="22" customHeight="1">
      <x:c r="A536" s="8" t="n">
        <x:v>181</x:v>
      </x:c>
      <x:c r="B536" s="6" t="n">
        <x:v>45095</x:v>
      </x:c>
      <x:c r="C536" s="2" t="str">
        <x:v>Электроника</x:v>
      </x:c>
      <x:c r="D536" s="2" t="str">
        <x:v>Смартфон</x:v>
      </x:c>
      <x:c r="E536" s="7" t="n">
        <x:v>108631.63</x:v>
      </x:c>
      <x:c r="F536" s="9" t="n">
        <x:v>7</x:v>
      </x:c>
      <x:c r="G536" s="2" t="str">
        <x:v>Санкт‑Петербург</x:v>
      </x:c>
      <x:c r="H536" s="7" t="n">
        <x:f>E536*F536</x:f>
        <x:v>760421.41</x:v>
      </x:c>
      <x:c r="I536" s="2" t="str">
        <x:f>TEXT(B536,"yyyy-mm")</x:f>
        <x:v>2023-06</x:v>
      </x:c>
      <x:c r="J536" s="8" t="n">
        <x:f>COUNTIFS($H$2:$H$1201,"&gt;"&amp;H536)+COUNTIFS($H$2:H536,H536)</x:f>
        <x:v>221</x:v>
      </x:c>
      <x:c r="K536" s="1"/>
      <x:c r="L536" s="1"/>
    </x:row>
    <x:row r="537" ht="22" customHeight="1">
      <x:c r="A537" s="8" t="n">
        <x:v>925</x:v>
      </x:c>
      <x:c r="B537" s="6" t="n">
        <x:v>45095</x:v>
      </x:c>
      <x:c r="C537" s="2" t="str">
        <x:v>Продукты</x:v>
      </x:c>
      <x:c r="D537" s="2" t="str">
        <x:v>Хлеб</x:v>
      </x:c>
      <x:c r="E537" s="7" t="n">
        <x:v>111680.52</x:v>
      </x:c>
      <x:c r="F537" s="9" t="n">
        <x:v>4</x:v>
      </x:c>
      <x:c r="G537" s="2" t="str">
        <x:v>Казань</x:v>
      </x:c>
      <x:c r="H537" s="7" t="n">
        <x:f>E537*F537</x:f>
        <x:v>446722.08</x:v>
      </x:c>
      <x:c r="I537" s="2" t="str">
        <x:f>TEXT(B537,"yyyy-mm")</x:f>
        <x:v>2023-06</x:v>
      </x:c>
      <x:c r="J537" s="8" t="n">
        <x:f>COUNTIFS($H$2:$H$1201,"&gt;"&amp;H537)+COUNTIFS($H$2:H537,H537)</x:f>
        <x:v>456</x:v>
      </x:c>
      <x:c r="K537" s="1"/>
      <x:c r="L537" s="1"/>
    </x:row>
    <x:row r="538" ht="22" customHeight="1">
      <x:c r="A538" s="8" t="n">
        <x:v>85</x:v>
      </x:c>
      <x:c r="B538" s="6" t="n">
        <x:v>45096</x:v>
      </x:c>
      <x:c r="C538" s="2" t="str">
        <x:v>Одежда</x:v>
      </x:c>
      <x:c r="D538" s="2" t="str">
        <x:v>Футболка</x:v>
      </x:c>
      <x:c r="E538" s="7" t="n">
        <x:v>127064.11</x:v>
      </x:c>
      <x:c r="F538" s="9" t="n">
        <x:v>2</x:v>
      </x:c>
      <x:c r="G538" s="2" t="str">
        <x:v>Московская область</x:v>
      </x:c>
      <x:c r="H538" s="7" t="n">
        <x:f>E538*F538</x:f>
        <x:v>254128.22</x:v>
      </x:c>
      <x:c r="I538" s="2" t="str">
        <x:f>TEXT(B538,"yyyy-mm")</x:f>
        <x:v>2023-06</x:v>
      </x:c>
      <x:c r="J538" s="8" t="n">
        <x:f>COUNTIFS($H$2:$H$1201,"&gt;"&amp;H538)+COUNTIFS($H$2:H538,H538)</x:f>
        <x:v>698</x:v>
      </x:c>
      <x:c r="K538" s="1"/>
      <x:c r="L538" s="1"/>
    </x:row>
    <x:row r="539" ht="22" customHeight="1">
      <x:c r="A539" s="8" t="n">
        <x:v>176</x:v>
      </x:c>
      <x:c r="B539" s="6" t="n">
        <x:v>45096</x:v>
      </x:c>
      <x:c r="C539" s="2" t="str">
        <x:v>Продукты</x:v>
      </x:c>
      <x:c r="D539" s="2" t="str">
        <x:v>Шоколад</x:v>
      </x:c>
      <x:c r="E539" s="7" t="n">
        <x:v>100848.23</x:v>
      </x:c>
      <x:c r="F539" s="9" t="n">
        <x:v>5</x:v>
      </x:c>
      <x:c r="G539" s="2" t="str">
        <x:v>Москва</x:v>
      </x:c>
      <x:c r="H539" s="7" t="n">
        <x:f>E539*F539</x:f>
        <x:v>504241.14999999997</x:v>
      </x:c>
      <x:c r="I539" s="2" t="str">
        <x:f>TEXT(B539,"yyyy-mm")</x:f>
        <x:v>2023-06</x:v>
      </x:c>
      <x:c r="J539" s="8" t="n">
        <x:f>COUNTIFS($H$2:$H$1201,"&gt;"&amp;H539)+COUNTIFS($H$2:H539,H539)</x:f>
        <x:v>408</x:v>
      </x:c>
      <x:c r="K539" s="1"/>
      <x:c r="L539" s="1"/>
    </x:row>
    <x:row r="540" ht="22" customHeight="1">
      <x:c r="A540" s="8" t="n">
        <x:v>9</x:v>
      </x:c>
      <x:c r="B540" s="6" t="n">
        <x:v>45097</x:v>
      </x:c>
      <x:c r="C540" s="2" t="str">
        <x:v>Товары для дома</x:v>
      </x:c>
      <x:c r="D540" s="2" t="str">
        <x:v>Полотенце</x:v>
      </x:c>
      <x:c r="E540" s="7" t="n">
        <x:v>131245.73</x:v>
      </x:c>
      <x:c r="F540" s="9" t="n">
        <x:v>8</x:v>
      </x:c>
      <x:c r="G540" s="2" t="str">
        <x:v>Москва</x:v>
      </x:c>
      <x:c r="H540" s="7" t="n">
        <x:f>E540*F540</x:f>
        <x:v>1049965.84</x:v>
      </x:c>
      <x:c r="I540" s="2" t="str">
        <x:f>TEXT(B540,"yyyy-mm")</x:f>
        <x:v>2023-06</x:v>
      </x:c>
      <x:c r="J540" s="8" t="n">
        <x:f>COUNTIFS($H$2:$H$1201,"&gt;"&amp;H540)+COUNTIFS($H$2:H540,H540)</x:f>
        <x:v>73</x:v>
      </x:c>
      <x:c r="K540" s="1"/>
      <x:c r="L540" s="1"/>
    </x:row>
    <x:row r="541" ht="22" customHeight="1">
      <x:c r="A541" s="8" t="n">
        <x:v>636</x:v>
      </x:c>
      <x:c r="B541" s="6" t="n">
        <x:v>45097</x:v>
      </x:c>
      <x:c r="C541" s="2" t="str">
        <x:v>Электроника</x:v>
      </x:c>
      <x:c r="D541" s="2" t="str">
        <x:v>Смартфон</x:v>
      </x:c>
      <x:c r="E541" s="7" t="n">
        <x:v>26565.4</x:v>
      </x:c>
      <x:c r="F541" s="9" t="n">
        <x:v>3</x:v>
      </x:c>
      <x:c r="G541" s="2" t="str">
        <x:v>Московская область</x:v>
      </x:c>
      <x:c r="H541" s="7" t="n">
        <x:f>E541*F541</x:f>
        <x:v>79696.20000000001</x:v>
      </x:c>
      <x:c r="I541" s="2" t="str">
        <x:f>TEXT(B541,"yyyy-mm")</x:f>
        <x:v>2023-06</x:v>
      </x:c>
      <x:c r="J541" s="8" t="n">
        <x:f>COUNTIFS($H$2:$H$1201,"&gt;"&amp;H541)+COUNTIFS($H$2:H541,H541)</x:f>
        <x:v>1017</x:v>
      </x:c>
      <x:c r="K541" s="1"/>
      <x:c r="L541" s="1"/>
    </x:row>
    <x:row r="542" ht="22" customHeight="1">
      <x:c r="A542" s="8" t="n">
        <x:v>797</x:v>
      </x:c>
      <x:c r="B542" s="6" t="n">
        <x:v>45097</x:v>
      </x:c>
      <x:c r="C542" s="2" t="str">
        <x:v>Товары для дома</x:v>
      </x:c>
      <x:c r="D542" s="2" t="str">
        <x:v>Кружка</x:v>
      </x:c>
      <x:c r="E542" s="7" t="n">
        <x:v>36923.7</x:v>
      </x:c>
      <x:c r="F542" s="9" t="n">
        <x:v>10</x:v>
      </x:c>
      <x:c r="G542" s="2" t="str">
        <x:v>Санкт‑Петербург</x:v>
      </x:c>
      <x:c r="H542" s="7" t="n">
        <x:f>E542*F542</x:f>
        <x:v>369237</x:v>
      </x:c>
      <x:c r="I542" s="2" t="str">
        <x:f>TEXT(B542,"yyyy-mm")</x:f>
        <x:v>2023-06</x:v>
      </x:c>
      <x:c r="J542" s="8" t="n">
        <x:f>COUNTIFS($H$2:$H$1201,"&gt;"&amp;H542)+COUNTIFS($H$2:H542,H542)</x:f>
        <x:v>561</x:v>
      </x:c>
      <x:c r="K542" s="1"/>
      <x:c r="L542" s="1"/>
    </x:row>
    <x:row r="543" ht="22" customHeight="1">
      <x:c r="A543" s="8" t="n">
        <x:v>988</x:v>
      </x:c>
      <x:c r="B543" s="6" t="n">
        <x:v>45097</x:v>
      </x:c>
      <x:c r="C543" s="2" t="str">
        <x:v>Продукты</x:v>
      </x:c>
      <x:c r="D543" s="2" t="str">
        <x:v>Кофе</x:v>
      </x:c>
      <x:c r="E543" s="7" t="n">
        <x:v>141302.36</x:v>
      </x:c>
      <x:c r="F543" s="9" t="n">
        <x:v>10</x:v>
      </x:c>
      <x:c r="G543" s="2" t="str">
        <x:v>Москва</x:v>
      </x:c>
      <x:c r="H543" s="7" t="n">
        <x:f>E543*F543</x:f>
        <x:v>1413023.5999999999</x:v>
      </x:c>
      <x:c r="I543" s="2" t="str">
        <x:f>TEXT(B543,"yyyy-mm")</x:f>
        <x:v>2023-06</x:v>
      </x:c>
      <x:c r="J543" s="8" t="n">
        <x:f>COUNTIFS($H$2:$H$1201,"&gt;"&amp;H543)+COUNTIFS($H$2:H543,H543)</x:f>
        <x:v>5</x:v>
      </x:c>
      <x:c r="K543" s="1"/>
      <x:c r="L543" s="1"/>
    </x:row>
    <x:row r="544" ht="22" customHeight="1">
      <x:c r="A544" s="8" t="n">
        <x:v>400</x:v>
      </x:c>
      <x:c r="B544" s="6" t="n">
        <x:v>45098</x:v>
      </x:c>
      <x:c r="C544" s="2" t="str">
        <x:v>Товары для дома</x:v>
      </x:c>
      <x:c r="D544" s="2" t="str">
        <x:v>Плед</x:v>
      </x:c>
      <x:c r="E544" s="7" t="n">
        <x:v>29316.24</x:v>
      </x:c>
      <x:c r="F544" s="9" t="n">
        <x:v>8</x:v>
      </x:c>
      <x:c r="G544" s="2" t="str">
        <x:v>Казань</x:v>
      </x:c>
      <x:c r="H544" s="7" t="n">
        <x:f>E544*F544</x:f>
        <x:v>234529.92</x:v>
      </x:c>
      <x:c r="I544" s="2" t="str">
        <x:f>TEXT(B544,"yyyy-mm")</x:f>
        <x:v>2023-06</x:v>
      </x:c>
      <x:c r="J544" s="8" t="n">
        <x:f>COUNTIFS($H$2:$H$1201,"&gt;"&amp;H544)+COUNTIFS($H$2:H544,H544)</x:f>
        <x:v>733</x:v>
      </x:c>
      <x:c r="K544" s="1"/>
      <x:c r="L544" s="1"/>
    </x:row>
    <x:row r="545" ht="22" customHeight="1">
      <x:c r="A545" s="8" t="n">
        <x:v>703</x:v>
      </x:c>
      <x:c r="B545" s="6" t="n">
        <x:v>45098</x:v>
      </x:c>
      <x:c r="C545" s="2" t="str">
        <x:v>Товары для дома</x:v>
      </x:c>
      <x:c r="D545" s="2" t="str">
        <x:v>Кружка</x:v>
      </x:c>
      <x:c r="E545" s="7" t="n">
        <x:v>32670.06</x:v>
      </x:c>
      <x:c r="F545" s="9" t="n">
        <x:v>2</x:v>
      </x:c>
      <x:c r="G545" s="2" t="str">
        <x:v>Екатеринбург</x:v>
      </x:c>
      <x:c r="H545" s="7" t="n">
        <x:f>E545*F545</x:f>
        <x:v>65340.12</x:v>
      </x:c>
      <x:c r="I545" s="2" t="str">
        <x:f>TEXT(B545,"yyyy-mm")</x:f>
        <x:v>2023-06</x:v>
      </x:c>
      <x:c r="J545" s="8" t="n">
        <x:f>COUNTIFS($H$2:$H$1201,"&gt;"&amp;H545)+COUNTIFS($H$2:H545,H545)</x:f>
        <x:v>1044</x:v>
      </x:c>
      <x:c r="K545" s="1"/>
      <x:c r="L545" s="1"/>
    </x:row>
    <x:row r="546" ht="22" customHeight="1">
      <x:c r="A546" s="8" t="n">
        <x:v>989</x:v>
      </x:c>
      <x:c r="B546" s="6" t="n">
        <x:v>45098</x:v>
      </x:c>
      <x:c r="C546" s="2" t="str">
        <x:v>Товары для дома</x:v>
      </x:c>
      <x:c r="D546" s="2" t="str">
        <x:v>Плед</x:v>
      </x:c>
      <x:c r="E546" s="7" t="n">
        <x:v>62177.79</x:v>
      </x:c>
      <x:c r="F546" s="9" t="n">
        <x:v>10</x:v>
      </x:c>
      <x:c r="G546" s="2" t="str">
        <x:v>Екатеринбург</x:v>
      </x:c>
      <x:c r="H546" s="7" t="n">
        <x:f>E546*F546</x:f>
        <x:v>621777.9</x:v>
      </x:c>
      <x:c r="I546" s="2" t="str">
        <x:f>TEXT(B546,"yyyy-mm")</x:f>
        <x:v>2023-06</x:v>
      </x:c>
      <x:c r="J546" s="8" t="n">
        <x:f>COUNTIFS($H$2:$H$1201,"&gt;"&amp;H546)+COUNTIFS($H$2:H546,H546)</x:f>
        <x:v>308</x:v>
      </x:c>
      <x:c r="K546" s="1"/>
      <x:c r="L546" s="1"/>
    </x:row>
    <x:row r="547" ht="22" customHeight="1">
      <x:c r="A547" s="8" t="n">
        <x:v>359</x:v>
      </x:c>
      <x:c r="B547" s="6" t="n">
        <x:v>45099</x:v>
      </x:c>
      <x:c r="C547" s="2" t="str">
        <x:v>Одежда</x:v>
      </x:c>
      <x:c r="D547" s="2" t="str">
        <x:v>Кроссовки</x:v>
      </x:c>
      <x:c r="E547" s="7" t="n">
        <x:v>112475.56</x:v>
      </x:c>
      <x:c r="F547" s="9" t="n">
        <x:v>3</x:v>
      </x:c>
      <x:c r="G547" s="2" t="str">
        <x:v>Санкт‑Петербург</x:v>
      </x:c>
      <x:c r="H547" s="7" t="n">
        <x:f>E547*F547</x:f>
        <x:v>337426.68</x:v>
      </x:c>
      <x:c r="I547" s="2" t="str">
        <x:f>TEXT(B547,"yyyy-mm")</x:f>
        <x:v>2023-06</x:v>
      </x:c>
      <x:c r="J547" s="8" t="n">
        <x:f>COUNTIFS($H$2:$H$1201,"&gt;"&amp;H547)+COUNTIFS($H$2:H547,H547)</x:f>
        <x:v>595</x:v>
      </x:c>
      <x:c r="K547" s="1"/>
      <x:c r="L547" s="1"/>
    </x:row>
    <x:row r="548" ht="22" customHeight="1">
      <x:c r="A548" s="8" t="n">
        <x:v>415</x:v>
      </x:c>
      <x:c r="B548" s="6" t="n">
        <x:v>45099</x:v>
      </x:c>
      <x:c r="C548" s="2" t="str">
        <x:v>Одежда</x:v>
      </x:c>
      <x:c r="D548" s="2" t="str">
        <x:v>Куртка</x:v>
      </x:c>
      <x:c r="E548" s="7" t="n">
        <x:v>140453.5</x:v>
      </x:c>
      <x:c r="F548" s="9" t="n">
        <x:v>7</x:v>
      </x:c>
      <x:c r="G548" s="2" t="str">
        <x:v>Москва</x:v>
      </x:c>
      <x:c r="H548" s="7" t="n">
        <x:f>E548*F548</x:f>
        <x:v>983174.5</x:v>
      </x:c>
      <x:c r="I548" s="2" t="str">
        <x:f>TEXT(B548,"yyyy-mm")</x:f>
        <x:v>2023-06</x:v>
      </x:c>
      <x:c r="J548" s="8" t="n">
        <x:f>COUNTIFS($H$2:$H$1201,"&gt;"&amp;H548)+COUNTIFS($H$2:H548,H548)</x:f>
        <x:v>95</x:v>
      </x:c>
      <x:c r="K548" s="1"/>
      <x:c r="L548" s="1"/>
    </x:row>
    <x:row r="549" ht="22" customHeight="1">
      <x:c r="A549" s="8" t="n">
        <x:v>438</x:v>
      </x:c>
      <x:c r="B549" s="6" t="n">
        <x:v>45099</x:v>
      </x:c>
      <x:c r="C549" s="2" t="str">
        <x:v>Продукты</x:v>
      </x:c>
      <x:c r="D549" s="2" t="str">
        <x:v>Шоколад</x:v>
      </x:c>
      <x:c r="E549" s="7" t="n">
        <x:v>52560.81</x:v>
      </x:c>
      <x:c r="F549" s="9" t="n">
        <x:v>9</x:v>
      </x:c>
      <x:c r="G549" s="2" t="str">
        <x:v>Новосибирск</x:v>
      </x:c>
      <x:c r="H549" s="7" t="n">
        <x:f>E549*F549</x:f>
        <x:v>473047.29</x:v>
      </x:c>
      <x:c r="I549" s="2" t="str">
        <x:f>TEXT(B549,"yyyy-mm")</x:f>
        <x:v>2023-06</x:v>
      </x:c>
      <x:c r="J549" s="8" t="n">
        <x:f>COUNTIFS($H$2:$H$1201,"&gt;"&amp;H549)+COUNTIFS($H$2:H549,H549)</x:f>
        <x:v>432</x:v>
      </x:c>
      <x:c r="K549" s="1"/>
      <x:c r="L549" s="1"/>
    </x:row>
    <x:row r="550" ht="22" customHeight="1">
      <x:c r="A550" s="8" t="n">
        <x:v>936</x:v>
      </x:c>
      <x:c r="B550" s="6" t="n">
        <x:v>45099</x:v>
      </x:c>
      <x:c r="C550" s="2" t="str">
        <x:v>Одежда</x:v>
      </x:c>
      <x:c r="D550" s="2" t="str">
        <x:v>Куртка</x:v>
      </x:c>
      <x:c r="E550" s="7" t="n">
        <x:v>50833.49</x:v>
      </x:c>
      <x:c r="F550" s="9" t="n">
        <x:v>5</x:v>
      </x:c>
      <x:c r="G550" s="2" t="str">
        <x:v>Казань</x:v>
      </x:c>
      <x:c r="H550" s="7" t="n">
        <x:f>E550*F550</x:f>
        <x:v>254167.44999999998</x:v>
      </x:c>
      <x:c r="I550" s="2" t="str">
        <x:f>TEXT(B550,"yyyy-mm")</x:f>
        <x:v>2023-06</x:v>
      </x:c>
      <x:c r="J550" s="8" t="n">
        <x:f>COUNTIFS($H$2:$H$1201,"&gt;"&amp;H550)+COUNTIFS($H$2:H550,H550)</x:f>
        <x:v>697</x:v>
      </x:c>
      <x:c r="K550" s="1"/>
      <x:c r="L550" s="1"/>
    </x:row>
    <x:row r="551" ht="22" customHeight="1">
      <x:c r="A551" s="8" t="n">
        <x:v>1064</x:v>
      </x:c>
      <x:c r="B551" s="6" t="n">
        <x:v>45099</x:v>
      </x:c>
      <x:c r="C551" s="2" t="str">
        <x:v>Одежда</x:v>
      </x:c>
      <x:c r="D551" s="2" t="str">
        <x:v>Кроссовки</x:v>
      </x:c>
      <x:c r="E551" s="7" t="n">
        <x:v>124109.09</x:v>
      </x:c>
      <x:c r="F551" s="9" t="n">
        <x:v>4</x:v>
      </x:c>
      <x:c r="G551" s="2" t="str">
        <x:v>Санкт‑Петербург</x:v>
      </x:c>
      <x:c r="H551" s="7" t="n">
        <x:f>E551*F551</x:f>
        <x:v>496436.36</x:v>
      </x:c>
      <x:c r="I551" s="2" t="str">
        <x:f>TEXT(B551,"yyyy-mm")</x:f>
        <x:v>2023-06</x:v>
      </x:c>
      <x:c r="J551" s="8" t="n">
        <x:f>COUNTIFS($H$2:$H$1201,"&gt;"&amp;H551)+COUNTIFS($H$2:H551,H551)</x:f>
        <x:v>414</x:v>
      </x:c>
      <x:c r="K551" s="1"/>
      <x:c r="L551" s="1"/>
    </x:row>
    <x:row r="552" ht="22" customHeight="1">
      <x:c r="A552" s="8" t="n">
        <x:v>780</x:v>
      </x:c>
      <x:c r="B552" s="6" t="n">
        <x:v>45100</x:v>
      </x:c>
      <x:c r="C552" s="2" t="str">
        <x:v>Продукты</x:v>
      </x:c>
      <x:c r="D552" s="2" t="str">
        <x:v>Хлеб</x:v>
      </x:c>
      <x:c r="E552" s="7" t="n">
        <x:v>53538.25</x:v>
      </x:c>
      <x:c r="F552" s="9" t="n">
        <x:v>5</x:v>
      </x:c>
      <x:c r="G552" s="2" t="str">
        <x:v>Казань</x:v>
      </x:c>
      <x:c r="H552" s="7" t="n">
        <x:f>E552*F552</x:f>
        <x:v>267691.25</x:v>
      </x:c>
      <x:c r="I552" s="2" t="str">
        <x:f>TEXT(B552,"yyyy-mm")</x:f>
        <x:v>2023-06</x:v>
      </x:c>
      <x:c r="J552" s="8" t="n">
        <x:f>COUNTIFS($H$2:$H$1201,"&gt;"&amp;H552)+COUNTIFS($H$2:H552,H552)</x:f>
        <x:v>672</x:v>
      </x:c>
      <x:c r="K552" s="1"/>
      <x:c r="L552" s="1"/>
    </x:row>
    <x:row r="553" ht="22" customHeight="1">
      <x:c r="A553" s="8" t="n">
        <x:v>932</x:v>
      </x:c>
      <x:c r="B553" s="6" t="n">
        <x:v>45100</x:v>
      </x:c>
      <x:c r="C553" s="2" t="str">
        <x:v>Одежда</x:v>
      </x:c>
      <x:c r="D553" s="2" t="str">
        <x:v>Футболка</x:v>
      </x:c>
      <x:c r="E553" s="7" t="n">
        <x:v>35672.37</x:v>
      </x:c>
      <x:c r="F553" s="9" t="n">
        <x:v>10</x:v>
      </x:c>
      <x:c r="G553" s="2" t="str">
        <x:v>Казань</x:v>
      </x:c>
      <x:c r="H553" s="7" t="n">
        <x:f>E553*F553</x:f>
        <x:v>356723.7</x:v>
      </x:c>
      <x:c r="I553" s="2" t="str">
        <x:f>TEXT(B553,"yyyy-mm")</x:f>
        <x:v>2023-06</x:v>
      </x:c>
      <x:c r="J553" s="8" t="n">
        <x:f>COUNTIFS($H$2:$H$1201,"&gt;"&amp;H553)+COUNTIFS($H$2:H553,H553)</x:f>
        <x:v>577</x:v>
      </x:c>
      <x:c r="K553" s="1"/>
      <x:c r="L553" s="1"/>
    </x:row>
    <x:row r="554" ht="22" customHeight="1">
      <x:c r="A554" s="8" t="n">
        <x:v>652</x:v>
      </x:c>
      <x:c r="B554" s="6" t="n">
        <x:v>45101</x:v>
      </x:c>
      <x:c r="C554" s="2" t="str">
        <x:v>Товары для дома</x:v>
      </x:c>
      <x:c r="D554" s="2" t="str">
        <x:v>Подушка</x:v>
      </x:c>
      <x:c r="E554" s="7" t="n">
        <x:v>122939.45</x:v>
      </x:c>
      <x:c r="F554" s="9" t="n">
        <x:v>6</x:v>
      </x:c>
      <x:c r="G554" s="2" t="str">
        <x:v>Екатеринбург</x:v>
      </x:c>
      <x:c r="H554" s="7" t="n">
        <x:f>E554*F554</x:f>
        <x:v>737636.7</x:v>
      </x:c>
      <x:c r="I554" s="2" t="str">
        <x:f>TEXT(B554,"yyyy-mm")</x:f>
        <x:v>2023-06</x:v>
      </x:c>
      <x:c r="J554" s="8" t="n">
        <x:f>COUNTIFS($H$2:$H$1201,"&gt;"&amp;H554)+COUNTIFS($H$2:H554,H554)</x:f>
        <x:v>232</x:v>
      </x:c>
      <x:c r="K554" s="1"/>
      <x:c r="L554" s="1"/>
    </x:row>
    <x:row r="555" ht="22" customHeight="1">
      <x:c r="A555" s="8" t="n">
        <x:v>811</x:v>
      </x:c>
      <x:c r="B555" s="6" t="n">
        <x:v>45101</x:v>
      </x:c>
      <x:c r="C555" s="2" t="str">
        <x:v>Товары для дома</x:v>
      </x:c>
      <x:c r="D555" s="2" t="str">
        <x:v>Подушка</x:v>
      </x:c>
      <x:c r="E555" s="7" t="n">
        <x:v>81552.08</x:v>
      </x:c>
      <x:c r="F555" s="9" t="n">
        <x:v>4</x:v>
      </x:c>
      <x:c r="G555" s="2" t="str">
        <x:v>Санкт‑Петербург</x:v>
      </x:c>
      <x:c r="H555" s="7" t="n">
        <x:f>E555*F555</x:f>
        <x:v>326208.32</x:v>
      </x:c>
      <x:c r="I555" s="2" t="str">
        <x:f>TEXT(B555,"yyyy-mm")</x:f>
        <x:v>2023-06</x:v>
      </x:c>
      <x:c r="J555" s="8" t="n">
        <x:f>COUNTIFS($H$2:$H$1201,"&gt;"&amp;H555)+COUNTIFS($H$2:H555,H555)</x:f>
        <x:v>607</x:v>
      </x:c>
      <x:c r="K555" s="1"/>
      <x:c r="L555" s="1"/>
    </x:row>
    <x:row r="556" ht="22" customHeight="1">
      <x:c r="A556" s="8" t="n">
        <x:v>1147</x:v>
      </x:c>
      <x:c r="B556" s="6" t="n">
        <x:v>45101</x:v>
      </x:c>
      <x:c r="C556" s="2" t="str">
        <x:v>Одежда</x:v>
      </x:c>
      <x:c r="D556" s="2" t="str">
        <x:v>Кроссовки</x:v>
      </x:c>
      <x:c r="E556" s="7" t="n">
        <x:v>1664.6</x:v>
      </x:c>
      <x:c r="F556" s="9" t="n">
        <x:v>8</x:v>
      </x:c>
      <x:c r="G556" s="2" t="str">
        <x:v>Московская область</x:v>
      </x:c>
      <x:c r="H556" s="7" t="n">
        <x:f>E556*F556</x:f>
        <x:v>13316.8</x:v>
      </x:c>
      <x:c r="I556" s="2" t="str">
        <x:f>TEXT(B556,"yyyy-mm")</x:f>
        <x:v>2023-06</x:v>
      </x:c>
      <x:c r="J556" s="8" t="n">
        <x:f>COUNTIFS($H$2:$H$1201,"&gt;"&amp;H556)+COUNTIFS($H$2:H556,H556)</x:f>
        <x:v>1173</x:v>
      </x:c>
      <x:c r="K556" s="1"/>
      <x:c r="L556" s="1"/>
    </x:row>
    <x:row r="557" ht="22" customHeight="1">
      <x:c r="A557" s="8" t="n">
        <x:v>860</x:v>
      </x:c>
      <x:c r="B557" s="6" t="n">
        <x:v>45102</x:v>
      </x:c>
      <x:c r="C557" s="2" t="str">
        <x:v>Одежда</x:v>
      </x:c>
      <x:c r="D557" s="2" t="str">
        <x:v>Джинсы</x:v>
      </x:c>
      <x:c r="E557" s="7" t="n">
        <x:v>5618.25</x:v>
      </x:c>
      <x:c r="F557" s="9" t="n">
        <x:v>3</x:v>
      </x:c>
      <x:c r="G557" s="2" t="str">
        <x:v>Казань</x:v>
      </x:c>
      <x:c r="H557" s="7" t="n">
        <x:f>E557*F557</x:f>
        <x:v>16854.75</x:v>
      </x:c>
      <x:c r="I557" s="2" t="str">
        <x:f>TEXT(B557,"yyyy-mm")</x:f>
        <x:v>2023-06</x:v>
      </x:c>
      <x:c r="J557" s="8" t="n">
        <x:f>COUNTIFS($H$2:$H$1201,"&gt;"&amp;H557)+COUNTIFS($H$2:H557,H557)</x:f>
        <x:v>1163</x:v>
      </x:c>
      <x:c r="K557" s="1"/>
      <x:c r="L557" s="1"/>
    </x:row>
    <x:row r="558" ht="22" customHeight="1">
      <x:c r="A558" s="8" t="n">
        <x:v>541</x:v>
      </x:c>
      <x:c r="B558" s="6" t="n">
        <x:v>45103</x:v>
      </x:c>
      <x:c r="C558" s="2" t="str">
        <x:v>Одежда</x:v>
      </x:c>
      <x:c r="D558" s="2" t="str">
        <x:v>Футболка</x:v>
      </x:c>
      <x:c r="E558" s="7" t="n">
        <x:v>19506.97</x:v>
      </x:c>
      <x:c r="F558" s="9" t="n">
        <x:v>7</x:v>
      </x:c>
      <x:c r="G558" s="2" t="str">
        <x:v>Новосибирск</x:v>
      </x:c>
      <x:c r="H558" s="7" t="n">
        <x:f>E558*F558</x:f>
        <x:v>136548.79</x:v>
      </x:c>
      <x:c r="I558" s="2" t="str">
        <x:f>TEXT(B558,"yyyy-mm")</x:f>
        <x:v>2023-06</x:v>
      </x:c>
      <x:c r="J558" s="8" t="n">
        <x:f>COUNTIFS($H$2:$H$1201,"&gt;"&amp;H558)+COUNTIFS($H$2:H558,H558)</x:f>
        <x:v>887</x:v>
      </x:c>
      <x:c r="K558" s="1"/>
      <x:c r="L558" s="1"/>
    </x:row>
    <x:row r="559" ht="22" customHeight="1">
      <x:c r="A559" s="8" t="n">
        <x:v>31</x:v>
      </x:c>
      <x:c r="B559" s="6" t="n">
        <x:v>45104</x:v>
      </x:c>
      <x:c r="C559" s="2" t="str">
        <x:v>Продукты</x:v>
      </x:c>
      <x:c r="D559" s="2" t="str">
        <x:v>Хлеб</x:v>
      </x:c>
      <x:c r="E559" s="7" t="n">
        <x:v>63370.25</x:v>
      </x:c>
      <x:c r="F559" s="9" t="n">
        <x:v>9</x:v>
      </x:c>
      <x:c r="G559" s="2" t="str">
        <x:v>Санкт‑Петербург</x:v>
      </x:c>
      <x:c r="H559" s="7" t="n">
        <x:f>E559*F559</x:f>
        <x:v>570332.25</x:v>
      </x:c>
      <x:c r="I559" s="2" t="str">
        <x:f>TEXT(B559,"yyyy-mm")</x:f>
        <x:v>2023-06</x:v>
      </x:c>
      <x:c r="J559" s="8" t="n">
        <x:f>COUNTIFS($H$2:$H$1201,"&gt;"&amp;H559)+COUNTIFS($H$2:H559,H559)</x:f>
        <x:v>352</x:v>
      </x:c>
      <x:c r="K559" s="1"/>
      <x:c r="L559" s="1"/>
    </x:row>
    <x:row r="560" ht="22" customHeight="1">
      <x:c r="A560" s="8" t="n">
        <x:v>116</x:v>
      </x:c>
      <x:c r="B560" s="6" t="n">
        <x:v>45104</x:v>
      </x:c>
      <x:c r="C560" s="2" t="str">
        <x:v>Одежда</x:v>
      </x:c>
      <x:c r="D560" s="2" t="str">
        <x:v>Джинсы</x:v>
      </x:c>
      <x:c r="E560" s="7" t="n">
        <x:v>81494.77</x:v>
      </x:c>
      <x:c r="F560" s="9" t="n">
        <x:v>7</x:v>
      </x:c>
      <x:c r="G560" s="2" t="str">
        <x:v>Московская область</x:v>
      </x:c>
      <x:c r="H560" s="7" t="n">
        <x:f>E560*F560</x:f>
        <x:v>570463.39</x:v>
      </x:c>
      <x:c r="I560" s="2" t="str">
        <x:f>TEXT(B560,"yyyy-mm")</x:f>
        <x:v>2023-06</x:v>
      </x:c>
      <x:c r="J560" s="8" t="n">
        <x:f>COUNTIFS($H$2:$H$1201,"&gt;"&amp;H560)+COUNTIFS($H$2:H560,H560)</x:f>
        <x:v>349</x:v>
      </x:c>
      <x:c r="K560" s="1"/>
      <x:c r="L560" s="1"/>
    </x:row>
    <x:row r="561" ht="22" customHeight="1">
      <x:c r="A561" s="8" t="n">
        <x:v>174</x:v>
      </x:c>
      <x:c r="B561" s="6" t="n">
        <x:v>45104</x:v>
      </x:c>
      <x:c r="C561" s="2" t="str">
        <x:v>Товары для дома</x:v>
      </x:c>
      <x:c r="D561" s="2" t="str">
        <x:v>Кружка</x:v>
      </x:c>
      <x:c r="E561" s="7" t="n">
        <x:v>138696.21</x:v>
      </x:c>
      <x:c r="F561" s="9" t="n">
        <x:v>5</x:v>
      </x:c>
      <x:c r="G561" s="2" t="str">
        <x:v>Екатеринбург</x:v>
      </x:c>
      <x:c r="H561" s="7" t="n">
        <x:f>E561*F561</x:f>
        <x:v>693481.0499999999</x:v>
      </x:c>
      <x:c r="I561" s="2" t="str">
        <x:f>TEXT(B561,"yyyy-mm")</x:f>
        <x:v>2023-06</x:v>
      </x:c>
      <x:c r="J561" s="8" t="n">
        <x:f>COUNTIFS($H$2:$H$1201,"&gt;"&amp;H561)+COUNTIFS($H$2:H561,H561)</x:f>
        <x:v>266</x:v>
      </x:c>
      <x:c r="K561" s="1"/>
      <x:c r="L561" s="1"/>
    </x:row>
    <x:row r="562" ht="22" customHeight="1">
      <x:c r="A562" s="8" t="n">
        <x:v>418</x:v>
      </x:c>
      <x:c r="B562" s="6" t="n">
        <x:v>45104</x:v>
      </x:c>
      <x:c r="C562" s="2" t="str">
        <x:v>Одежда</x:v>
      </x:c>
      <x:c r="D562" s="2" t="str">
        <x:v>Футболка</x:v>
      </x:c>
      <x:c r="E562" s="7" t="n">
        <x:v>35638.98</x:v>
      </x:c>
      <x:c r="F562" s="9" t="n">
        <x:v>10</x:v>
      </x:c>
      <x:c r="G562" s="2" t="str">
        <x:v>Санкт‑Петербург</x:v>
      </x:c>
      <x:c r="H562" s="7" t="n">
        <x:f>E562*F562</x:f>
        <x:v>356389.80000000005</x:v>
      </x:c>
      <x:c r="I562" s="2" t="str">
        <x:f>TEXT(B562,"yyyy-mm")</x:f>
        <x:v>2023-06</x:v>
      </x:c>
      <x:c r="J562" s="8" t="n">
        <x:f>COUNTIFS($H$2:$H$1201,"&gt;"&amp;H562)+COUNTIFS($H$2:H562,H562)</x:f>
        <x:v>578</x:v>
      </x:c>
      <x:c r="K562" s="1"/>
      <x:c r="L562" s="1"/>
    </x:row>
    <x:row r="563" ht="22" customHeight="1">
      <x:c r="A563" s="8" t="n">
        <x:v>509</x:v>
      </x:c>
      <x:c r="B563" s="6" t="n">
        <x:v>45104</x:v>
      </x:c>
      <x:c r="C563" s="2" t="str">
        <x:v>Товары для дома</x:v>
      </x:c>
      <x:c r="D563" s="2" t="str">
        <x:v>Полотенце</x:v>
      </x:c>
      <x:c r="E563" s="7" t="n">
        <x:v>39517.78</x:v>
      </x:c>
      <x:c r="F563" s="9" t="n">
        <x:v>1</x:v>
      </x:c>
      <x:c r="G563" s="2" t="str">
        <x:v>Москва</x:v>
      </x:c>
      <x:c r="H563" s="7" t="n">
        <x:f>E563*F563</x:f>
        <x:v>39517.78</x:v>
      </x:c>
      <x:c r="I563" s="2" t="str">
        <x:f>TEXT(B563,"yyyy-mm")</x:f>
        <x:v>2023-06</x:v>
      </x:c>
      <x:c r="J563" s="8" t="n">
        <x:f>COUNTIFS($H$2:$H$1201,"&gt;"&amp;H563)+COUNTIFS($H$2:H563,H563)</x:f>
        <x:v>1107</x:v>
      </x:c>
      <x:c r="K563" s="1"/>
      <x:c r="L563" s="1"/>
    </x:row>
    <x:row r="564" ht="22" customHeight="1">
      <x:c r="A564" s="8" t="n">
        <x:v>855</x:v>
      </x:c>
      <x:c r="B564" s="6" t="n">
        <x:v>45104</x:v>
      </x:c>
      <x:c r="C564" s="2" t="str">
        <x:v>Товары для дома</x:v>
      </x:c>
      <x:c r="D564" s="2" t="str">
        <x:v>Полотенце</x:v>
      </x:c>
      <x:c r="E564" s="7" t="n">
        <x:v>118413.28</x:v>
      </x:c>
      <x:c r="F564" s="9" t="n">
        <x:v>4</x:v>
      </x:c>
      <x:c r="G564" s="2" t="str">
        <x:v>Московская область</x:v>
      </x:c>
      <x:c r="H564" s="7" t="n">
        <x:f>E564*F564</x:f>
        <x:v>473653.12</x:v>
      </x:c>
      <x:c r="I564" s="2" t="str">
        <x:f>TEXT(B564,"yyyy-mm")</x:f>
        <x:v>2023-06</x:v>
      </x:c>
      <x:c r="J564" s="8" t="n">
        <x:f>COUNTIFS($H$2:$H$1201,"&gt;"&amp;H564)+COUNTIFS($H$2:H564,H564)</x:f>
        <x:v>431</x:v>
      </x:c>
      <x:c r="K564" s="1"/>
      <x:c r="L564" s="1"/>
    </x:row>
    <x:row r="565" ht="22" customHeight="1">
      <x:c r="A565" s="8" t="n">
        <x:v>328</x:v>
      </x:c>
      <x:c r="B565" s="6" t="n">
        <x:v>45105</x:v>
      </x:c>
      <x:c r="C565" s="2" t="str">
        <x:v>Одежда</x:v>
      </x:c>
      <x:c r="D565" s="2" t="str">
        <x:v>Джинсы</x:v>
      </x:c>
      <x:c r="E565" s="7" t="n">
        <x:v>11157.65</x:v>
      </x:c>
      <x:c r="F565" s="9" t="n">
        <x:v>2</x:v>
      </x:c>
      <x:c r="G565" s="2" t="str">
        <x:v>Санкт‑Петербург</x:v>
      </x:c>
      <x:c r="H565" s="7" t="n">
        <x:f>E565*F565</x:f>
        <x:v>22315.3</x:v>
      </x:c>
      <x:c r="I565" s="2" t="str">
        <x:f>TEXT(B565,"yyyy-mm")</x:f>
        <x:v>2023-06</x:v>
      </x:c>
      <x:c r="J565" s="8" t="n">
        <x:f>COUNTIFS($H$2:$H$1201,"&gt;"&amp;H565)+COUNTIFS($H$2:H565,H565)</x:f>
        <x:v>1148</x:v>
      </x:c>
      <x:c r="K565" s="1"/>
      <x:c r="L565" s="1"/>
    </x:row>
    <x:row r="566" ht="22" customHeight="1">
      <x:c r="A566" s="8" t="n">
        <x:v>722</x:v>
      </x:c>
      <x:c r="B566" s="6" t="n">
        <x:v>45105</x:v>
      </x:c>
      <x:c r="C566" s="2" t="str">
        <x:v>Продукты</x:v>
      </x:c>
      <x:c r="D566" s="2" t="str">
        <x:v>Кофе</x:v>
      </x:c>
      <x:c r="E566" s="7" t="n">
        <x:v>140569.95</x:v>
      </x:c>
      <x:c r="F566" s="9" t="n">
        <x:v>2</x:v>
      </x:c>
      <x:c r="G566" s="2" t="str">
        <x:v>Москва</x:v>
      </x:c>
      <x:c r="H566" s="7" t="n">
        <x:f>E566*F566</x:f>
        <x:v>281139.9</x:v>
      </x:c>
      <x:c r="I566" s="2" t="str">
        <x:f>TEXT(B566,"yyyy-mm")</x:f>
        <x:v>2023-06</x:v>
      </x:c>
      <x:c r="J566" s="8" t="n">
        <x:f>COUNTIFS($H$2:$H$1201,"&gt;"&amp;H566)+COUNTIFS($H$2:H566,H566)</x:f>
        <x:v>655</x:v>
      </x:c>
      <x:c r="K566" s="1"/>
      <x:c r="L566" s="1"/>
    </x:row>
    <x:row r="567" ht="22" customHeight="1">
      <x:c r="A567" s="8" t="n">
        <x:v>72</x:v>
      </x:c>
      <x:c r="B567" s="6" t="n">
        <x:v>45106</x:v>
      </x:c>
      <x:c r="C567" s="2" t="str">
        <x:v>Одежда</x:v>
      </x:c>
      <x:c r="D567" s="2" t="str">
        <x:v>Кроссовки</x:v>
      </x:c>
      <x:c r="E567" s="7" t="n">
        <x:v>101605.53</x:v>
      </x:c>
      <x:c r="F567" s="9" t="n">
        <x:v>7</x:v>
      </x:c>
      <x:c r="G567" s="2" t="str">
        <x:v>Казань</x:v>
      </x:c>
      <x:c r="H567" s="7" t="n">
        <x:f>E567*F567</x:f>
        <x:v>711238.71</x:v>
      </x:c>
      <x:c r="I567" s="2" t="str">
        <x:f>TEXT(B567,"yyyy-mm")</x:f>
        <x:v>2023-06</x:v>
      </x:c>
      <x:c r="J567" s="8" t="n">
        <x:f>COUNTIFS($H$2:$H$1201,"&gt;"&amp;H567)+COUNTIFS($H$2:H567,H567)</x:f>
        <x:v>258</x:v>
      </x:c>
      <x:c r="K567" s="1"/>
      <x:c r="L567" s="1"/>
    </x:row>
    <x:row r="568" ht="22" customHeight="1">
      <x:c r="A568" s="8" t="n">
        <x:v>387</x:v>
      </x:c>
      <x:c r="B568" s="6" t="n">
        <x:v>45106</x:v>
      </x:c>
      <x:c r="C568" s="2" t="str">
        <x:v>Продукты</x:v>
      </x:c>
      <x:c r="D568" s="2" t="str">
        <x:v>Шоколад</x:v>
      </x:c>
      <x:c r="E568" s="7" t="n">
        <x:v>119254.95</x:v>
      </x:c>
      <x:c r="F568" s="9" t="n">
        <x:v>10</x:v>
      </x:c>
      <x:c r="G568" s="2" t="str">
        <x:v>Новосибирск</x:v>
      </x:c>
      <x:c r="H568" s="7" t="n">
        <x:f>E568*F568</x:f>
        <x:v>1192549.5</x:v>
      </x:c>
      <x:c r="I568" s="2" t="str">
        <x:f>TEXT(B568,"yyyy-mm")</x:f>
        <x:v>2023-06</x:v>
      </x:c>
      <x:c r="J568" s="8" t="n">
        <x:f>COUNTIFS($H$2:$H$1201,"&gt;"&amp;H568)+COUNTIFS($H$2:H568,H568)</x:f>
        <x:v>34</x:v>
      </x:c>
      <x:c r="K568" s="1"/>
      <x:c r="L568" s="1"/>
    </x:row>
    <x:row r="569" ht="22" customHeight="1">
      <x:c r="A569" s="8" t="n">
        <x:v>627</x:v>
      </x:c>
      <x:c r="B569" s="6" t="n">
        <x:v>45106</x:v>
      </x:c>
      <x:c r="C569" s="2" t="str">
        <x:v>Электроника</x:v>
      </x:c>
      <x:c r="D569" s="2" t="str">
        <x:v>Смартфон</x:v>
      </x:c>
      <x:c r="E569" s="7" t="n">
        <x:v>2426.31</x:v>
      </x:c>
      <x:c r="F569" s="9" t="n">
        <x:v>7</x:v>
      </x:c>
      <x:c r="G569" s="2" t="str">
        <x:v>Екатеринбург</x:v>
      </x:c>
      <x:c r="H569" s="7" t="n">
        <x:f>E569*F569</x:f>
        <x:v>16984.17</x:v>
      </x:c>
      <x:c r="I569" s="2" t="str">
        <x:f>TEXT(B569,"yyyy-mm")</x:f>
        <x:v>2023-06</x:v>
      </x:c>
      <x:c r="J569" s="8" t="n">
        <x:f>COUNTIFS($H$2:$H$1201,"&gt;"&amp;H569)+COUNTIFS($H$2:H569,H569)</x:f>
        <x:v>1162</x:v>
      </x:c>
      <x:c r="K569" s="1"/>
      <x:c r="L569" s="1"/>
    </x:row>
    <x:row r="570" ht="22" customHeight="1">
      <x:c r="A570" s="8" t="n">
        <x:v>763</x:v>
      </x:c>
      <x:c r="B570" s="6" t="n">
        <x:v>45106</x:v>
      </x:c>
      <x:c r="C570" s="2" t="str">
        <x:v>Продукты</x:v>
      </x:c>
      <x:c r="D570" s="2" t="str">
        <x:v>Шоколад</x:v>
      </x:c>
      <x:c r="E570" s="7" t="n">
        <x:v>52632.88</x:v>
      </x:c>
      <x:c r="F570" s="9" t="n">
        <x:v>4</x:v>
      </x:c>
      <x:c r="G570" s="2" t="str">
        <x:v>Москва</x:v>
      </x:c>
      <x:c r="H570" s="7" t="n">
        <x:f>E570*F570</x:f>
        <x:v>210531.52</x:v>
      </x:c>
      <x:c r="I570" s="2" t="str">
        <x:f>TEXT(B570,"yyyy-mm")</x:f>
        <x:v>2023-06</x:v>
      </x:c>
      <x:c r="J570" s="8" t="n">
        <x:f>COUNTIFS($H$2:$H$1201,"&gt;"&amp;H570)+COUNTIFS($H$2:H570,H570)</x:f>
        <x:v>775</x:v>
      </x:c>
      <x:c r="K570" s="1"/>
      <x:c r="L570" s="1"/>
    </x:row>
    <x:row r="571" ht="22" customHeight="1">
      <x:c r="A571" s="8" t="n">
        <x:v>1062</x:v>
      </x:c>
      <x:c r="B571" s="6" t="n">
        <x:v>45106</x:v>
      </x:c>
      <x:c r="C571" s="2" t="str">
        <x:v>Электроника</x:v>
      </x:c>
      <x:c r="D571" s="2" t="str">
        <x:v>Смартфон</x:v>
      </x:c>
      <x:c r="E571" s="7" t="n">
        <x:v>54656.93</x:v>
      </x:c>
      <x:c r="F571" s="9" t="n">
        <x:v>6</x:v>
      </x:c>
      <x:c r="G571" s="2" t="str">
        <x:v>Екатеринбург</x:v>
      </x:c>
      <x:c r="H571" s="7" t="n">
        <x:f>E571*F571</x:f>
        <x:v>327941.58</x:v>
      </x:c>
      <x:c r="I571" s="2" t="str">
        <x:f>TEXT(B571,"yyyy-mm")</x:f>
        <x:v>2023-06</x:v>
      </x:c>
      <x:c r="J571" s="8" t="n">
        <x:f>COUNTIFS($H$2:$H$1201,"&gt;"&amp;H571)+COUNTIFS($H$2:H571,H571)</x:f>
        <x:v>605</x:v>
      </x:c>
      <x:c r="K571" s="1"/>
      <x:c r="L571" s="1"/>
    </x:row>
    <x:row r="572" ht="22" customHeight="1">
      <x:c r="A572" s="8" t="n">
        <x:v>232</x:v>
      </x:c>
      <x:c r="B572" s="6" t="n">
        <x:v>45107</x:v>
      </x:c>
      <x:c r="C572" s="2" t="str">
        <x:v>Продукты</x:v>
      </x:c>
      <x:c r="D572" s="2" t="str">
        <x:v>Хлеб</x:v>
      </x:c>
      <x:c r="E572" s="7" t="n">
        <x:v>13703.08</x:v>
      </x:c>
      <x:c r="F572" s="9" t="n">
        <x:v>7</x:v>
      </x:c>
      <x:c r="G572" s="2" t="str">
        <x:v>Казань</x:v>
      </x:c>
      <x:c r="H572" s="7" t="n">
        <x:f>E572*F572</x:f>
        <x:v>95921.56</x:v>
      </x:c>
      <x:c r="I572" s="2" t="str">
        <x:f>TEXT(B572,"yyyy-mm")</x:f>
        <x:v>2023-06</x:v>
      </x:c>
      <x:c r="J572" s="8" t="n">
        <x:f>COUNTIFS($H$2:$H$1201,"&gt;"&amp;H572)+COUNTIFS($H$2:H572,H572)</x:f>
        <x:v>977</x:v>
      </x:c>
      <x:c r="K572" s="1"/>
      <x:c r="L572" s="1"/>
    </x:row>
    <x:row r="573" ht="22" customHeight="1">
      <x:c r="A573" s="8" t="n">
        <x:v>540</x:v>
      </x:c>
      <x:c r="B573" s="6" t="n">
        <x:v>45107</x:v>
      </x:c>
      <x:c r="C573" s="2" t="str">
        <x:v>Товары для дома</x:v>
      </x:c>
      <x:c r="D573" s="2" t="str">
        <x:v>Подушка</x:v>
      </x:c>
      <x:c r="E573" s="7" t="n">
        <x:v>75364.85</x:v>
      </x:c>
      <x:c r="F573" s="9" t="n">
        <x:v>8</x:v>
      </x:c>
      <x:c r="G573" s="2" t="str">
        <x:v>Екатеринбург</x:v>
      </x:c>
      <x:c r="H573" s="7" t="n">
        <x:f>E573*F573</x:f>
        <x:v>602918.8</x:v>
      </x:c>
      <x:c r="I573" s="2" t="str">
        <x:f>TEXT(B573,"yyyy-mm")</x:f>
        <x:v>2023-06</x:v>
      </x:c>
      <x:c r="J573" s="8" t="n">
        <x:f>COUNTIFS($H$2:$H$1201,"&gt;"&amp;H573)+COUNTIFS($H$2:H573,H573)</x:f>
        <x:v>315</x:v>
      </x:c>
      <x:c r="K573" s="1"/>
      <x:c r="L573" s="1"/>
    </x:row>
    <x:row r="574" ht="22" customHeight="1">
      <x:c r="A574" s="8" t="n">
        <x:v>57</x:v>
      </x:c>
      <x:c r="B574" s="6" t="n">
        <x:v>45108</x:v>
      </x:c>
      <x:c r="C574" s="2" t="str">
        <x:v>Продукты</x:v>
      </x:c>
      <x:c r="D574" s="2" t="str">
        <x:v>Молоко</x:v>
      </x:c>
      <x:c r="E574" s="7" t="n">
        <x:v>21272.41</x:v>
      </x:c>
      <x:c r="F574" s="9" t="n">
        <x:v>1</x:v>
      </x:c>
      <x:c r="G574" s="2" t="str">
        <x:v>Екатеринбург</x:v>
      </x:c>
      <x:c r="H574" s="7" t="n">
        <x:f>E574*F574</x:f>
        <x:v>21272.41</x:v>
      </x:c>
      <x:c r="I574" s="2" t="str">
        <x:f>TEXT(B574,"yyyy-mm")</x:f>
        <x:v>2023-07</x:v>
      </x:c>
      <x:c r="J574" s="8" t="n">
        <x:f>COUNTIFS($H$2:$H$1201,"&gt;"&amp;H574)+COUNTIFS($H$2:H574,H574)</x:f>
        <x:v>1150</x:v>
      </x:c>
      <x:c r="K574" s="1"/>
      <x:c r="L574" s="1"/>
    </x:row>
    <x:row r="575" ht="22" customHeight="1">
      <x:c r="A575" s="8" t="n">
        <x:v>59</x:v>
      </x:c>
      <x:c r="B575" s="6" t="n">
        <x:v>45108</x:v>
      </x:c>
      <x:c r="C575" s="2" t="str">
        <x:v>Одежда</x:v>
      </x:c>
      <x:c r="D575" s="2" t="str">
        <x:v>Футболка</x:v>
      </x:c>
      <x:c r="E575" s="7" t="n">
        <x:v>91400.19</x:v>
      </x:c>
      <x:c r="F575" s="9" t="n">
        <x:v>4</x:v>
      </x:c>
      <x:c r="G575" s="2" t="str">
        <x:v>Новосибирск</x:v>
      </x:c>
      <x:c r="H575" s="7" t="n">
        <x:f>E575*F575</x:f>
        <x:v>365600.76</x:v>
      </x:c>
      <x:c r="I575" s="2" t="str">
        <x:f>TEXT(B575,"yyyy-mm")</x:f>
        <x:v>2023-07</x:v>
      </x:c>
      <x:c r="J575" s="8" t="n">
        <x:f>COUNTIFS($H$2:$H$1201,"&gt;"&amp;H575)+COUNTIFS($H$2:H575,H575)</x:f>
        <x:v>565</x:v>
      </x:c>
      <x:c r="K575" s="1"/>
      <x:c r="L575" s="1"/>
    </x:row>
    <x:row r="576" ht="22" customHeight="1">
      <x:c r="A576" s="8" t="n">
        <x:v>222</x:v>
      </x:c>
      <x:c r="B576" s="6" t="n">
        <x:v>45108</x:v>
      </x:c>
      <x:c r="C576" s="2" t="str">
        <x:v>Продукты</x:v>
      </x:c>
      <x:c r="D576" s="2" t="str">
        <x:v>Хлеб</x:v>
      </x:c>
      <x:c r="E576" s="7" t="n">
        <x:v>125918.07</x:v>
      </x:c>
      <x:c r="F576" s="9" t="n">
        <x:v>2</x:v>
      </x:c>
      <x:c r="G576" s="2" t="str">
        <x:v>Казань</x:v>
      </x:c>
      <x:c r="H576" s="7" t="n">
        <x:f>E576*F576</x:f>
        <x:v>251836.14</x:v>
      </x:c>
      <x:c r="I576" s="2" t="str">
        <x:f>TEXT(B576,"yyyy-mm")</x:f>
        <x:v>2023-07</x:v>
      </x:c>
      <x:c r="J576" s="8" t="n">
        <x:f>COUNTIFS($H$2:$H$1201,"&gt;"&amp;H576)+COUNTIFS($H$2:H576,H576)</x:f>
        <x:v>702</x:v>
      </x:c>
      <x:c r="K576" s="1"/>
      <x:c r="L576" s="1"/>
    </x:row>
    <x:row r="577" ht="22" customHeight="1">
      <x:c r="A577" s="8" t="n">
        <x:v>303</x:v>
      </x:c>
      <x:c r="B577" s="6" t="n">
        <x:v>45109</x:v>
      </x:c>
      <x:c r="C577" s="2" t="str">
        <x:v>Продукты</x:v>
      </x:c>
      <x:c r="D577" s="2" t="str">
        <x:v>Кофе</x:v>
      </x:c>
      <x:c r="E577" s="7" t="n">
        <x:v>30385.36</x:v>
      </x:c>
      <x:c r="F577" s="9" t="n">
        <x:v>3</x:v>
      </x:c>
      <x:c r="G577" s="2" t="str">
        <x:v>Москва</x:v>
      </x:c>
      <x:c r="H577" s="7" t="n">
        <x:f>E577*F577</x:f>
        <x:v>91156.08</x:v>
      </x:c>
      <x:c r="I577" s="2" t="str">
        <x:f>TEXT(B577,"yyyy-mm")</x:f>
        <x:v>2023-07</x:v>
      </x:c>
      <x:c r="J577" s="8" t="n">
        <x:f>COUNTIFS($H$2:$H$1201,"&gt;"&amp;H577)+COUNTIFS($H$2:H577,H577)</x:f>
        <x:v>988</x:v>
      </x:c>
      <x:c r="K577" s="1"/>
      <x:c r="L577" s="1"/>
    </x:row>
    <x:row r="578" ht="22" customHeight="1">
      <x:c r="A578" s="8" t="n">
        <x:v>454</x:v>
      </x:c>
      <x:c r="B578" s="6" t="n">
        <x:v>45109</x:v>
      </x:c>
      <x:c r="C578" s="2" t="str">
        <x:v>Товары для дома</x:v>
      </x:c>
      <x:c r="D578" s="2" t="str">
        <x:v>Подушка</x:v>
      </x:c>
      <x:c r="E578" s="7" t="n">
        <x:v>8950.4</x:v>
      </x:c>
      <x:c r="F578" s="9" t="n">
        <x:v>6</x:v>
      </x:c>
      <x:c r="G578" s="2" t="str">
        <x:v>Московская область</x:v>
      </x:c>
      <x:c r="H578" s="7" t="n">
        <x:f>E578*F578</x:f>
        <x:v>53702.399999999994</x:v>
      </x:c>
      <x:c r="I578" s="2" t="str">
        <x:f>TEXT(B578,"yyyy-mm")</x:f>
        <x:v>2023-07</x:v>
      </x:c>
      <x:c r="J578" s="8" t="n">
        <x:f>COUNTIFS($H$2:$H$1201,"&gt;"&amp;H578)+COUNTIFS($H$2:H578,H578)</x:f>
        <x:v>1078</x:v>
      </x:c>
      <x:c r="K578" s="1"/>
      <x:c r="L578" s="1"/>
    </x:row>
    <x:row r="579" ht="22" customHeight="1">
      <x:c r="A579" s="8" t="n">
        <x:v>718</x:v>
      </x:c>
      <x:c r="B579" s="6" t="n">
        <x:v>45109</x:v>
      </x:c>
      <x:c r="C579" s="2" t="str">
        <x:v>Продукты</x:v>
      </x:c>
      <x:c r="D579" s="2" t="str">
        <x:v>Хлеб</x:v>
      </x:c>
      <x:c r="E579" s="7" t="n">
        <x:v>106327.6</x:v>
      </x:c>
      <x:c r="F579" s="9" t="n">
        <x:v>7</x:v>
      </x:c>
      <x:c r="G579" s="2" t="str">
        <x:v>Новосибирск</x:v>
      </x:c>
      <x:c r="H579" s="7" t="n">
        <x:f>E579*F579</x:f>
        <x:v>744293.2000000001</x:v>
      </x:c>
      <x:c r="I579" s="2" t="str">
        <x:f>TEXT(B579,"yyyy-mm")</x:f>
        <x:v>2023-07</x:v>
      </x:c>
      <x:c r="J579" s="8" t="n">
        <x:f>COUNTIFS($H$2:$H$1201,"&gt;"&amp;H579)+COUNTIFS($H$2:H579,H579)</x:f>
        <x:v>230</x:v>
      </x:c>
      <x:c r="K579" s="1"/>
      <x:c r="L579" s="1"/>
    </x:row>
    <x:row r="580" ht="22" customHeight="1">
      <x:c r="A580" s="8" t="n">
        <x:v>22</x:v>
      </x:c>
      <x:c r="B580" s="6" t="n">
        <x:v>45110</x:v>
      </x:c>
      <x:c r="C580" s="2" t="str">
        <x:v>Товары для дома</x:v>
      </x:c>
      <x:c r="D580" s="2" t="str">
        <x:v>Плед</x:v>
      </x:c>
      <x:c r="E580" s="7" t="n">
        <x:v>146461.26</x:v>
      </x:c>
      <x:c r="F580" s="9" t="n">
        <x:v>7</x:v>
      </x:c>
      <x:c r="G580" s="2" t="str">
        <x:v>Казань</x:v>
      </x:c>
      <x:c r="H580" s="7" t="n">
        <x:f>E580*F580</x:f>
        <x:v>1025228.8200000001</x:v>
      </x:c>
      <x:c r="I580" s="2" t="str">
        <x:f>TEXT(B580,"yyyy-mm")</x:f>
        <x:v>2023-07</x:v>
      </x:c>
      <x:c r="J580" s="8" t="n">
        <x:f>COUNTIFS($H$2:$H$1201,"&gt;"&amp;H580)+COUNTIFS($H$2:H580,H580)</x:f>
        <x:v>81</x:v>
      </x:c>
      <x:c r="K580" s="1"/>
      <x:c r="L580" s="1"/>
    </x:row>
    <x:row r="581" ht="22" customHeight="1">
      <x:c r="A581" s="8" t="n">
        <x:v>34</x:v>
      </x:c>
      <x:c r="B581" s="6" t="n">
        <x:v>45110</x:v>
      </x:c>
      <x:c r="C581" s="2" t="str">
        <x:v>Одежда</x:v>
      </x:c>
      <x:c r="D581" s="2" t="str">
        <x:v>Футболка</x:v>
      </x:c>
      <x:c r="E581" s="7" t="n">
        <x:v>132602.02</x:v>
      </x:c>
      <x:c r="F581" s="9" t="n">
        <x:v>10</x:v>
      </x:c>
      <x:c r="G581" s="2" t="str">
        <x:v>Москва</x:v>
      </x:c>
      <x:c r="H581" s="7" t="n">
        <x:f>E581*F581</x:f>
        <x:v>1326020.2</x:v>
      </x:c>
      <x:c r="I581" s="2" t="str">
        <x:f>TEXT(B581,"yyyy-mm")</x:f>
        <x:v>2023-07</x:v>
      </x:c>
      <x:c r="J581" s="8" t="n">
        <x:f>COUNTIFS($H$2:$H$1201,"&gt;"&amp;H581)+COUNTIFS($H$2:H581,H581)</x:f>
        <x:v>11</x:v>
      </x:c>
      <x:c r="K581" s="1"/>
      <x:c r="L581" s="1"/>
    </x:row>
    <x:row r="582" ht="22" customHeight="1">
      <x:c r="A582" s="8" t="n">
        <x:v>36</x:v>
      </x:c>
      <x:c r="B582" s="6" t="n">
        <x:v>45110</x:v>
      </x:c>
      <x:c r="C582" s="2" t="str">
        <x:v>Товары для дома</x:v>
      </x:c>
      <x:c r="D582" s="2" t="str">
        <x:v>Полотенце</x:v>
      </x:c>
      <x:c r="E582" s="7" t="n">
        <x:v>142191.81</x:v>
      </x:c>
      <x:c r="F582" s="9" t="n">
        <x:v>1</x:v>
      </x:c>
      <x:c r="G582" s="2" t="str">
        <x:v>Новосибирск</x:v>
      </x:c>
      <x:c r="H582" s="7" t="n">
        <x:f>E582*F582</x:f>
        <x:v>142191.81</x:v>
      </x:c>
      <x:c r="I582" s="2" t="str">
        <x:f>TEXT(B582,"yyyy-mm")</x:f>
        <x:v>2023-07</x:v>
      </x:c>
      <x:c r="J582" s="8" t="n">
        <x:f>COUNTIFS($H$2:$H$1201,"&gt;"&amp;H582)+COUNTIFS($H$2:H582,H582)</x:f>
        <x:v>872</x:v>
      </x:c>
      <x:c r="K582" s="1"/>
      <x:c r="L582" s="1"/>
    </x:row>
    <x:row r="583" ht="22" customHeight="1">
      <x:c r="A583" s="8" t="n">
        <x:v>784</x:v>
      </x:c>
      <x:c r="B583" s="6" t="n">
        <x:v>45110</x:v>
      </x:c>
      <x:c r="C583" s="2" t="str">
        <x:v>Продукты</x:v>
      </x:c>
      <x:c r="D583" s="2" t="str">
        <x:v>Молоко</x:v>
      </x:c>
      <x:c r="E583" s="7" t="n">
        <x:v>147604.06</x:v>
      </x:c>
      <x:c r="F583" s="9" t="n">
        <x:v>7</x:v>
      </x:c>
      <x:c r="G583" s="2" t="str">
        <x:v>Москва</x:v>
      </x:c>
      <x:c r="H583" s="7" t="n">
        <x:f>E583*F583</x:f>
        <x:v>1033228.4199999999</x:v>
      </x:c>
      <x:c r="I583" s="2" t="str">
        <x:f>TEXT(B583,"yyyy-mm")</x:f>
        <x:v>2023-07</x:v>
      </x:c>
      <x:c r="J583" s="8" t="n">
        <x:f>COUNTIFS($H$2:$H$1201,"&gt;"&amp;H583)+COUNTIFS($H$2:H583,H583)</x:f>
        <x:v>79</x:v>
      </x:c>
      <x:c r="K583" s="1"/>
      <x:c r="L583" s="1"/>
    </x:row>
    <x:row r="584" ht="22" customHeight="1">
      <x:c r="A584" s="8" t="n">
        <x:v>227</x:v>
      </x:c>
      <x:c r="B584" s="6" t="n">
        <x:v>45111</x:v>
      </x:c>
      <x:c r="C584" s="2" t="str">
        <x:v>Товары для дома</x:v>
      </x:c>
      <x:c r="D584" s="2" t="str">
        <x:v>Полотенце</x:v>
      </x:c>
      <x:c r="E584" s="7" t="n">
        <x:v>21518.72</x:v>
      </x:c>
      <x:c r="F584" s="9" t="n">
        <x:v>6</x:v>
      </x:c>
      <x:c r="G584" s="2" t="str">
        <x:v>Казань</x:v>
      </x:c>
      <x:c r="H584" s="7" t="n">
        <x:f>E584*F584</x:f>
        <x:v>129112.32</x:v>
      </x:c>
      <x:c r="I584" s="2" t="str">
        <x:f>TEXT(B584,"yyyy-mm")</x:f>
        <x:v>2023-07</x:v>
      </x:c>
      <x:c r="J584" s="8" t="n">
        <x:f>COUNTIFS($H$2:$H$1201,"&gt;"&amp;H584)+COUNTIFS($H$2:H584,H584)</x:f>
        <x:v>906</x:v>
      </x:c>
      <x:c r="K584" s="1"/>
      <x:c r="L584" s="1"/>
    </x:row>
    <x:row r="585" ht="22" customHeight="1">
      <x:c r="A585" s="8" t="n">
        <x:v>653</x:v>
      </x:c>
      <x:c r="B585" s="6" t="n">
        <x:v>45111</x:v>
      </x:c>
      <x:c r="C585" s="2" t="str">
        <x:v>Одежда</x:v>
      </x:c>
      <x:c r="D585" s="2" t="str">
        <x:v>Куртка</x:v>
      </x:c>
      <x:c r="E585" s="7" t="n">
        <x:v>117563.45</x:v>
      </x:c>
      <x:c r="F585" s="9" t="n">
        <x:v>2</x:v>
      </x:c>
      <x:c r="G585" s="2" t="str">
        <x:v>Екатеринбург</x:v>
      </x:c>
      <x:c r="H585" s="7" t="n">
        <x:f>E585*F585</x:f>
        <x:v>235126.9</x:v>
      </x:c>
      <x:c r="I585" s="2" t="str">
        <x:f>TEXT(B585,"yyyy-mm")</x:f>
        <x:v>2023-07</x:v>
      </x:c>
      <x:c r="J585" s="8" t="n">
        <x:f>COUNTIFS($H$2:$H$1201,"&gt;"&amp;H585)+COUNTIFS($H$2:H585,H585)</x:f>
        <x:v>731</x:v>
      </x:c>
      <x:c r="K585" s="1"/>
      <x:c r="L585" s="1"/>
    </x:row>
    <x:row r="586" ht="22" customHeight="1">
      <x:c r="A586" s="8" t="n">
        <x:v>52</x:v>
      </x:c>
      <x:c r="B586" s="6" t="n">
        <x:v>45112</x:v>
      </x:c>
      <x:c r="C586" s="2" t="str">
        <x:v>Продукты</x:v>
      </x:c>
      <x:c r="D586" s="2" t="str">
        <x:v>Хлеб</x:v>
      </x:c>
      <x:c r="E586" s="7" t="n">
        <x:v>107964.16</x:v>
      </x:c>
      <x:c r="F586" s="9" t="n">
        <x:v>8</x:v>
      </x:c>
      <x:c r="G586" s="2" t="str">
        <x:v>Новосибирск</x:v>
      </x:c>
      <x:c r="H586" s="7" t="n">
        <x:f>E586*F586</x:f>
        <x:v>863713.28</x:v>
      </x:c>
      <x:c r="I586" s="2" t="str">
        <x:f>TEXT(B586,"yyyy-mm")</x:f>
        <x:v>2023-07</x:v>
      </x:c>
      <x:c r="J586" s="8" t="n">
        <x:f>COUNTIFS($H$2:$H$1201,"&gt;"&amp;H586)+COUNTIFS($H$2:H586,H586)</x:f>
        <x:v>156</x:v>
      </x:c>
      <x:c r="K586" s="1"/>
      <x:c r="L586" s="1"/>
    </x:row>
    <x:row r="587" ht="22" customHeight="1">
      <x:c r="A587" s="8" t="n">
        <x:v>419</x:v>
      </x:c>
      <x:c r="B587" s="6" t="n">
        <x:v>45112</x:v>
      </x:c>
      <x:c r="C587" s="2" t="str">
        <x:v>Одежда</x:v>
      </x:c>
      <x:c r="D587" s="2" t="str">
        <x:v>Кроссовки</x:v>
      </x:c>
      <x:c r="E587" s="7" t="n">
        <x:v>137607.13</x:v>
      </x:c>
      <x:c r="F587" s="9" t="n">
        <x:v>6</x:v>
      </x:c>
      <x:c r="G587" s="2" t="str">
        <x:v>Казань</x:v>
      </x:c>
      <x:c r="H587" s="7" t="n">
        <x:f>E587*F587</x:f>
        <x:v>825642.78</x:v>
      </x:c>
      <x:c r="I587" s="2" t="str">
        <x:f>TEXT(B587,"yyyy-mm")</x:f>
        <x:v>2023-07</x:v>
      </x:c>
      <x:c r="J587" s="8" t="n">
        <x:f>COUNTIFS($H$2:$H$1201,"&gt;"&amp;H587)+COUNTIFS($H$2:H587,H587)</x:f>
        <x:v>179</x:v>
      </x:c>
      <x:c r="K587" s="1"/>
      <x:c r="L587" s="1"/>
    </x:row>
    <x:row r="588" ht="22" customHeight="1">
      <x:c r="A588" s="8" t="n">
        <x:v>1173</x:v>
      </x:c>
      <x:c r="B588" s="6" t="n">
        <x:v>45112</x:v>
      </x:c>
      <x:c r="C588" s="2" t="str">
        <x:v>Электроника</x:v>
      </x:c>
      <x:c r="D588" s="2" t="str">
        <x:v>Наушники</x:v>
      </x:c>
      <x:c r="E588" s="7" t="n">
        <x:v>112323.94</x:v>
      </x:c>
      <x:c r="F588" s="9" t="n">
        <x:v>1</x:v>
      </x:c>
      <x:c r="G588" s="2" t="str">
        <x:v>Москва</x:v>
      </x:c>
      <x:c r="H588" s="7" t="n">
        <x:f>E588*F588</x:f>
        <x:v>112323.94</x:v>
      </x:c>
      <x:c r="I588" s="2" t="str">
        <x:f>TEXT(B588,"yyyy-mm")</x:f>
        <x:v>2023-07</x:v>
      </x:c>
      <x:c r="J588" s="8" t="n">
        <x:f>COUNTIFS($H$2:$H$1201,"&gt;"&amp;H588)+COUNTIFS($H$2:H588,H588)</x:f>
        <x:v>945</x:v>
      </x:c>
      <x:c r="K588" s="1"/>
      <x:c r="L588" s="1"/>
    </x:row>
    <x:row r="589" ht="22" customHeight="1">
      <x:c r="A589" s="8" t="n">
        <x:v>98</x:v>
      </x:c>
      <x:c r="B589" s="6" t="n">
        <x:v>45113</x:v>
      </x:c>
      <x:c r="C589" s="2" t="str">
        <x:v>Продукты</x:v>
      </x:c>
      <x:c r="D589" s="2" t="str">
        <x:v>Кофе</x:v>
      </x:c>
      <x:c r="E589" s="7" t="n">
        <x:v>121900.12</x:v>
      </x:c>
      <x:c r="F589" s="9" t="n">
        <x:v>6</x:v>
      </x:c>
      <x:c r="G589" s="2" t="str">
        <x:v>Московская область</x:v>
      </x:c>
      <x:c r="H589" s="7" t="n">
        <x:f>E589*F589</x:f>
        <x:v>731400.72</x:v>
      </x:c>
      <x:c r="I589" s="2" t="str">
        <x:f>TEXT(B589,"yyyy-mm")</x:f>
        <x:v>2023-07</x:v>
      </x:c>
      <x:c r="J589" s="8" t="n">
        <x:f>COUNTIFS($H$2:$H$1201,"&gt;"&amp;H589)+COUNTIFS($H$2:H589,H589)</x:f>
        <x:v>242</x:v>
      </x:c>
      <x:c r="K589" s="1"/>
      <x:c r="L589" s="1"/>
    </x:row>
    <x:row r="590" ht="22" customHeight="1">
      <x:c r="A590" s="8" t="n">
        <x:v>337</x:v>
      </x:c>
      <x:c r="B590" s="6" t="n">
        <x:v>45113</x:v>
      </x:c>
      <x:c r="C590" s="2" t="str">
        <x:v>Продукты</x:v>
      </x:c>
      <x:c r="D590" s="2" t="str">
        <x:v>Шоколад</x:v>
      </x:c>
      <x:c r="E590" s="7" t="n">
        <x:v>487.17</x:v>
      </x:c>
      <x:c r="F590" s="9" t="n">
        <x:v>5</x:v>
      </x:c>
      <x:c r="G590" s="2" t="str">
        <x:v>Екатеринбург</x:v>
      </x:c>
      <x:c r="H590" s="7" t="n">
        <x:f>E590*F590</x:f>
        <x:v>2435.85</x:v>
      </x:c>
      <x:c r="I590" s="2" t="str">
        <x:f>TEXT(B590,"yyyy-mm")</x:f>
        <x:v>2023-07</x:v>
      </x:c>
      <x:c r="J590" s="8" t="n">
        <x:f>COUNTIFS($H$2:$H$1201,"&gt;"&amp;H590)+COUNTIFS($H$2:H590,H590)</x:f>
        <x:v>1196</x:v>
      </x:c>
      <x:c r="K590" s="1"/>
      <x:c r="L590" s="1"/>
    </x:row>
    <x:row r="591" ht="22" customHeight="1">
      <x:c r="A591" s="8" t="n">
        <x:v>526</x:v>
      </x:c>
      <x:c r="B591" s="6" t="n">
        <x:v>45113</x:v>
      </x:c>
      <x:c r="C591" s="2" t="str">
        <x:v>Товары для дома</x:v>
      </x:c>
      <x:c r="D591" s="2" t="str">
        <x:v>Полотенце</x:v>
      </x:c>
      <x:c r="E591" s="7" t="n">
        <x:v>56943.12</x:v>
      </x:c>
      <x:c r="F591" s="9" t="n">
        <x:v>1</x:v>
      </x:c>
      <x:c r="G591" s="2" t="str">
        <x:v>Казань</x:v>
      </x:c>
      <x:c r="H591" s="7" t="n">
        <x:f>E591*F591</x:f>
        <x:v>56943.12</x:v>
      </x:c>
      <x:c r="I591" s="2" t="str">
        <x:f>TEXT(B591,"yyyy-mm")</x:f>
        <x:v>2023-07</x:v>
      </x:c>
      <x:c r="J591" s="8" t="n">
        <x:f>COUNTIFS($H$2:$H$1201,"&gt;"&amp;H591)+COUNTIFS($H$2:H591,H591)</x:f>
        <x:v>1071</x:v>
      </x:c>
      <x:c r="K591" s="1"/>
      <x:c r="L591" s="1"/>
    </x:row>
    <x:row r="592" ht="22" customHeight="1">
      <x:c r="A592" s="8" t="n">
        <x:v>180</x:v>
      </x:c>
      <x:c r="B592" s="6" t="n">
        <x:v>45114</x:v>
      </x:c>
      <x:c r="C592" s="2" t="str">
        <x:v>Одежда</x:v>
      </x:c>
      <x:c r="D592" s="2" t="str">
        <x:v>Куртка</x:v>
      </x:c>
      <x:c r="E592" s="7" t="n">
        <x:v>114201.36</x:v>
      </x:c>
      <x:c r="F592" s="9" t="n">
        <x:v>5</x:v>
      </x:c>
      <x:c r="G592" s="2" t="str">
        <x:v>Казань</x:v>
      </x:c>
      <x:c r="H592" s="7" t="n">
        <x:f>E592*F592</x:f>
        <x:v>571006.8</x:v>
      </x:c>
      <x:c r="I592" s="2" t="str">
        <x:f>TEXT(B592,"yyyy-mm")</x:f>
        <x:v>2023-07</x:v>
      </x:c>
      <x:c r="J592" s="8" t="n">
        <x:f>COUNTIFS($H$2:$H$1201,"&gt;"&amp;H592)+COUNTIFS($H$2:H592,H592)</x:f>
        <x:v>348</x:v>
      </x:c>
      <x:c r="K592" s="1"/>
      <x:c r="L592" s="1"/>
    </x:row>
    <x:row r="593" ht="22" customHeight="1">
      <x:c r="A593" s="8" t="n">
        <x:v>414</x:v>
      </x:c>
      <x:c r="B593" s="6" t="n">
        <x:v>45114</x:v>
      </x:c>
      <x:c r="C593" s="2" t="str">
        <x:v>Электроника</x:v>
      </x:c>
      <x:c r="D593" s="2" t="str">
        <x:v>Ноутбук</x:v>
      </x:c>
      <x:c r="E593" s="7" t="n">
        <x:v>22088.58</x:v>
      </x:c>
      <x:c r="F593" s="9" t="n">
        <x:v>1</x:v>
      </x:c>
      <x:c r="G593" s="2" t="str">
        <x:v>Новосибирск</x:v>
      </x:c>
      <x:c r="H593" s="7" t="n">
        <x:f>E593*F593</x:f>
        <x:v>22088.58</x:v>
      </x:c>
      <x:c r="I593" s="2" t="str">
        <x:f>TEXT(B593,"yyyy-mm")</x:f>
        <x:v>2023-07</x:v>
      </x:c>
      <x:c r="J593" s="8" t="n">
        <x:f>COUNTIFS($H$2:$H$1201,"&gt;"&amp;H593)+COUNTIFS($H$2:H593,H593)</x:f>
        <x:v>1149</x:v>
      </x:c>
      <x:c r="K593" s="1"/>
      <x:c r="L593" s="1"/>
    </x:row>
    <x:row r="594" ht="22" customHeight="1">
      <x:c r="A594" s="8" t="n">
        <x:v>502</x:v>
      </x:c>
      <x:c r="B594" s="6" t="n">
        <x:v>45114</x:v>
      </x:c>
      <x:c r="C594" s="2" t="str">
        <x:v>Продукты</x:v>
      </x:c>
      <x:c r="D594" s="2" t="str">
        <x:v>Шоколад</x:v>
      </x:c>
      <x:c r="E594" s="7" t="n">
        <x:v>64362.84</x:v>
      </x:c>
      <x:c r="F594" s="9" t="n">
        <x:v>1</x:v>
      </x:c>
      <x:c r="G594" s="2" t="str">
        <x:v>Екатеринбург</x:v>
      </x:c>
      <x:c r="H594" s="7" t="n">
        <x:f>E594*F594</x:f>
        <x:v>64362.84</x:v>
      </x:c>
      <x:c r="I594" s="2" t="str">
        <x:f>TEXT(B594,"yyyy-mm")</x:f>
        <x:v>2023-07</x:v>
      </x:c>
      <x:c r="J594" s="8" t="n">
        <x:f>COUNTIFS($H$2:$H$1201,"&gt;"&amp;H594)+COUNTIFS($H$2:H594,H594)</x:f>
        <x:v>1046</x:v>
      </x:c>
      <x:c r="K594" s="1"/>
      <x:c r="L594" s="1"/>
    </x:row>
    <x:row r="595" ht="22" customHeight="1">
      <x:c r="A595" s="8" t="n">
        <x:v>709</x:v>
      </x:c>
      <x:c r="B595" s="6" t="n">
        <x:v>45115</x:v>
      </x:c>
      <x:c r="C595" s="2" t="str">
        <x:v>Продукты</x:v>
      </x:c>
      <x:c r="D595" s="2" t="str">
        <x:v>Кофе</x:v>
      </x:c>
      <x:c r="E595" s="7" t="n">
        <x:v>71130.21</x:v>
      </x:c>
      <x:c r="F595" s="9" t="n">
        <x:v>4</x:v>
      </x:c>
      <x:c r="G595" s="2" t="str">
        <x:v>Московская область</x:v>
      </x:c>
      <x:c r="H595" s="7" t="n">
        <x:f>E595*F595</x:f>
        <x:v>284520.84</x:v>
      </x:c>
      <x:c r="I595" s="2" t="str">
        <x:f>TEXT(B595,"yyyy-mm")</x:f>
        <x:v>2023-07</x:v>
      </x:c>
      <x:c r="J595" s="8" t="n">
        <x:f>COUNTIFS($H$2:$H$1201,"&gt;"&amp;H595)+COUNTIFS($H$2:H595,H595)</x:f>
        <x:v>650</x:v>
      </x:c>
      <x:c r="K595" s="1"/>
      <x:c r="L595" s="1"/>
    </x:row>
    <x:row r="596" ht="22" customHeight="1">
      <x:c r="A596" s="8" t="n">
        <x:v>820</x:v>
      </x:c>
      <x:c r="B596" s="6" t="n">
        <x:v>45115</x:v>
      </x:c>
      <x:c r="C596" s="2" t="str">
        <x:v>Товары для дома</x:v>
      </x:c>
      <x:c r="D596" s="2" t="str">
        <x:v>Полотенце</x:v>
      </x:c>
      <x:c r="E596" s="7" t="n">
        <x:v>11159.16</x:v>
      </x:c>
      <x:c r="F596" s="9" t="n">
        <x:v>10</x:v>
      </x:c>
      <x:c r="G596" s="2" t="str">
        <x:v>Санкт‑Петербург</x:v>
      </x:c>
      <x:c r="H596" s="7" t="n">
        <x:f>E596*F596</x:f>
        <x:v>111591.6</x:v>
      </x:c>
      <x:c r="I596" s="2" t="str">
        <x:f>TEXT(B596,"yyyy-mm")</x:f>
        <x:v>2023-07</x:v>
      </x:c>
      <x:c r="J596" s="8" t="n">
        <x:f>COUNTIFS($H$2:$H$1201,"&gt;"&amp;H596)+COUNTIFS($H$2:H596,H596)</x:f>
        <x:v>948</x:v>
      </x:c>
      <x:c r="K596" s="1"/>
      <x:c r="L596" s="1"/>
    </x:row>
    <x:row r="597" ht="22" customHeight="1">
      <x:c r="A597" s="8" t="n">
        <x:v>950</x:v>
      </x:c>
      <x:c r="B597" s="6" t="n">
        <x:v>45115</x:v>
      </x:c>
      <x:c r="C597" s="2" t="str">
        <x:v>Электроника</x:v>
      </x:c>
      <x:c r="D597" s="2" t="str">
        <x:v>Ноутбук</x:v>
      </x:c>
      <x:c r="E597" s="7" t="n">
        <x:v>117613.91</x:v>
      </x:c>
      <x:c r="F597" s="9" t="n">
        <x:v>3</x:v>
      </x:c>
      <x:c r="G597" s="2" t="str">
        <x:v>Казань</x:v>
      </x:c>
      <x:c r="H597" s="7" t="n">
        <x:f>E597*F597</x:f>
        <x:v>352841.73</x:v>
      </x:c>
      <x:c r="I597" s="2" t="str">
        <x:f>TEXT(B597,"yyyy-mm")</x:f>
        <x:v>2023-07</x:v>
      </x:c>
      <x:c r="J597" s="8" t="n">
        <x:f>COUNTIFS($H$2:$H$1201,"&gt;"&amp;H597)+COUNTIFS($H$2:H597,H597)</x:f>
        <x:v>584</x:v>
      </x:c>
      <x:c r="K597" s="1"/>
      <x:c r="L597" s="1"/>
    </x:row>
    <x:row r="598" ht="22" customHeight="1">
      <x:c r="A598" s="8" t="n">
        <x:v>1090</x:v>
      </x:c>
      <x:c r="B598" s="6" t="n">
        <x:v>45115</x:v>
      </x:c>
      <x:c r="C598" s="2" t="str">
        <x:v>Продукты</x:v>
      </x:c>
      <x:c r="D598" s="2" t="str">
        <x:v>Кофе</x:v>
      </x:c>
      <x:c r="E598" s="7" t="n">
        <x:v>56926.76</x:v>
      </x:c>
      <x:c r="F598" s="9" t="n">
        <x:v>4</x:v>
      </x:c>
      <x:c r="G598" s="2" t="str">
        <x:v>Санкт‑Петербург</x:v>
      </x:c>
      <x:c r="H598" s="7" t="n">
        <x:f>E598*F598</x:f>
        <x:v>227707.04</x:v>
      </x:c>
      <x:c r="I598" s="2" t="str">
        <x:f>TEXT(B598,"yyyy-mm")</x:f>
        <x:v>2023-07</x:v>
      </x:c>
      <x:c r="J598" s="8" t="n">
        <x:f>COUNTIFS($H$2:$H$1201,"&gt;"&amp;H598)+COUNTIFS($H$2:H598,H598)</x:f>
        <x:v>739</x:v>
      </x:c>
      <x:c r="K598" s="1"/>
      <x:c r="L598" s="1"/>
    </x:row>
    <x:row r="599" ht="22" customHeight="1">
      <x:c r="A599" s="8" t="n">
        <x:v>314</x:v>
      </x:c>
      <x:c r="B599" s="6" t="n">
        <x:v>45116</x:v>
      </x:c>
      <x:c r="C599" s="2" t="str">
        <x:v>Электроника</x:v>
      </x:c>
      <x:c r="D599" s="2" t="str">
        <x:v>Наушники</x:v>
      </x:c>
      <x:c r="E599" s="7" t="n">
        <x:v>98459.84</x:v>
      </x:c>
      <x:c r="F599" s="9" t="n">
        <x:v>5</x:v>
      </x:c>
      <x:c r="G599" s="2" t="str">
        <x:v>Москва</x:v>
      </x:c>
      <x:c r="H599" s="7" t="n">
        <x:f>E599*F599</x:f>
        <x:v>492299.19999999995</x:v>
      </x:c>
      <x:c r="I599" s="2" t="str">
        <x:f>TEXT(B599,"yyyy-mm")</x:f>
        <x:v>2023-07</x:v>
      </x:c>
      <x:c r="J599" s="8" t="n">
        <x:f>COUNTIFS($H$2:$H$1201,"&gt;"&amp;H599)+COUNTIFS($H$2:H599,H599)</x:f>
        <x:v>417</x:v>
      </x:c>
      <x:c r="K599" s="1"/>
      <x:c r="L599" s="1"/>
    </x:row>
    <x:row r="600" ht="22" customHeight="1">
      <x:c r="A600" s="8" t="n">
        <x:v>657</x:v>
      </x:c>
      <x:c r="B600" s="6" t="n">
        <x:v>45116</x:v>
      </x:c>
      <x:c r="C600" s="2" t="str">
        <x:v>Продукты</x:v>
      </x:c>
      <x:c r="D600" s="2" t="str">
        <x:v>Хлеб</x:v>
      </x:c>
      <x:c r="E600" s="7" t="n">
        <x:v>64978.81</x:v>
      </x:c>
      <x:c r="F600" s="9" t="n">
        <x:v>7</x:v>
      </x:c>
      <x:c r="G600" s="2" t="str">
        <x:v>Новосибирск</x:v>
      </x:c>
      <x:c r="H600" s="7" t="n">
        <x:f>E600*F600</x:f>
        <x:v>454851.67</x:v>
      </x:c>
      <x:c r="I600" s="2" t="str">
        <x:f>TEXT(B600,"yyyy-mm")</x:f>
        <x:v>2023-07</x:v>
      </x:c>
      <x:c r="J600" s="8" t="n">
        <x:f>COUNTIFS($H$2:$H$1201,"&gt;"&amp;H600)+COUNTIFS($H$2:H600,H600)</x:f>
        <x:v>447</x:v>
      </x:c>
      <x:c r="K600" s="1"/>
      <x:c r="L600" s="1"/>
    </x:row>
    <x:row r="601" ht="22" customHeight="1">
      <x:c r="A601" s="8" t="n">
        <x:v>909</x:v>
      </x:c>
      <x:c r="B601" s="6" t="n">
        <x:v>45116</x:v>
      </x:c>
      <x:c r="C601" s="2" t="str">
        <x:v>Продукты</x:v>
      </x:c>
      <x:c r="D601" s="2" t="str">
        <x:v>Кофе</x:v>
      </x:c>
      <x:c r="E601" s="7" t="n">
        <x:v>31319.69</x:v>
      </x:c>
      <x:c r="F601" s="9" t="n">
        <x:v>7</x:v>
      </x:c>
      <x:c r="G601" s="2" t="str">
        <x:v>Казань</x:v>
      </x:c>
      <x:c r="H601" s="7" t="n">
        <x:f>E601*F601</x:f>
        <x:v>219237.83</x:v>
      </x:c>
      <x:c r="I601" s="2" t="str">
        <x:f>TEXT(B601,"yyyy-mm")</x:f>
        <x:v>2023-07</x:v>
      </x:c>
      <x:c r="J601" s="8" t="n">
        <x:f>COUNTIFS($H$2:$H$1201,"&gt;"&amp;H601)+COUNTIFS($H$2:H601,H601)</x:f>
        <x:v>758</x:v>
      </x:c>
      <x:c r="K601" s="1"/>
      <x:c r="L601" s="1"/>
    </x:row>
    <x:row r="602" ht="22" customHeight="1">
      <x:c r="A602" s="8" t="n">
        <x:v>1007</x:v>
      </x:c>
      <x:c r="B602" s="6" t="n">
        <x:v>45116</x:v>
      </x:c>
      <x:c r="C602" s="2" t="str">
        <x:v>Электроника</x:v>
      </x:c>
      <x:c r="D602" s="2" t="str">
        <x:v>Смартфон</x:v>
      </x:c>
      <x:c r="E602" s="7" t="n">
        <x:v>97060.66</x:v>
      </x:c>
      <x:c r="F602" s="9" t="n">
        <x:v>9</x:v>
      </x:c>
      <x:c r="G602" s="2" t="str">
        <x:v>Казань</x:v>
      </x:c>
      <x:c r="H602" s="7" t="n">
        <x:f>E602*F602</x:f>
        <x:v>873545.9400000001</x:v>
      </x:c>
      <x:c r="I602" s="2" t="str">
        <x:f>TEXT(B602,"yyyy-mm")</x:f>
        <x:v>2023-07</x:v>
      </x:c>
      <x:c r="J602" s="8" t="n">
        <x:f>COUNTIFS($H$2:$H$1201,"&gt;"&amp;H602)+COUNTIFS($H$2:H602,H602)</x:f>
        <x:v>147</x:v>
      </x:c>
      <x:c r="K602" s="1"/>
      <x:c r="L602" s="1"/>
    </x:row>
    <x:row r="603" ht="22" customHeight="1">
      <x:c r="A603" s="8" t="n">
        <x:v>683</x:v>
      </x:c>
      <x:c r="B603" s="6" t="n">
        <x:v>45117</x:v>
      </x:c>
      <x:c r="C603" s="2" t="str">
        <x:v>Продукты</x:v>
      </x:c>
      <x:c r="D603" s="2" t="str">
        <x:v>Хлеб</x:v>
      </x:c>
      <x:c r="E603" s="7" t="n">
        <x:v>38765.96</x:v>
      </x:c>
      <x:c r="F603" s="9" t="n">
        <x:v>10</x:v>
      </x:c>
      <x:c r="G603" s="2" t="str">
        <x:v>Екатеринбург</x:v>
      </x:c>
      <x:c r="H603" s="7" t="n">
        <x:f>E603*F603</x:f>
        <x:v>387659.6</x:v>
      </x:c>
      <x:c r="I603" s="2" t="str">
        <x:f>TEXT(B603,"yyyy-mm")</x:f>
        <x:v>2023-07</x:v>
      </x:c>
      <x:c r="J603" s="8" t="n">
        <x:f>COUNTIFS($H$2:$H$1201,"&gt;"&amp;H603)+COUNTIFS($H$2:H603,H603)</x:f>
        <x:v>541</x:v>
      </x:c>
      <x:c r="K603" s="1"/>
      <x:c r="L603" s="1"/>
    </x:row>
    <x:row r="604" ht="22" customHeight="1">
      <x:c r="A604" s="8" t="n">
        <x:v>1048</x:v>
      </x:c>
      <x:c r="B604" s="6" t="n">
        <x:v>45117</x:v>
      </x:c>
      <x:c r="C604" s="2" t="str">
        <x:v>Товары для дома</x:v>
      </x:c>
      <x:c r="D604" s="2" t="str">
        <x:v>Подушка</x:v>
      </x:c>
      <x:c r="E604" s="7" t="n">
        <x:v>23481.33</x:v>
      </x:c>
      <x:c r="F604" s="9" t="n">
        <x:v>10</x:v>
      </x:c>
      <x:c r="G604" s="2" t="str">
        <x:v>Москва</x:v>
      </x:c>
      <x:c r="H604" s="7" t="n">
        <x:f>E604*F604</x:f>
        <x:v>234813.30000000002</x:v>
      </x:c>
      <x:c r="I604" s="2" t="str">
        <x:f>TEXT(B604,"yyyy-mm")</x:f>
        <x:v>2023-07</x:v>
      </x:c>
      <x:c r="J604" s="8" t="n">
        <x:f>COUNTIFS($H$2:$H$1201,"&gt;"&amp;H604)+COUNTIFS($H$2:H604,H604)</x:f>
        <x:v>732</x:v>
      </x:c>
      <x:c r="K604" s="1"/>
      <x:c r="L604" s="1"/>
    </x:row>
    <x:row r="605" ht="22" customHeight="1">
      <x:c r="A605" s="8" t="n">
        <x:v>1182</x:v>
      </x:c>
      <x:c r="B605" s="6" t="n">
        <x:v>45117</x:v>
      </x:c>
      <x:c r="C605" s="2" t="str">
        <x:v>Одежда</x:v>
      </x:c>
      <x:c r="D605" s="2" t="str">
        <x:v>Футболка</x:v>
      </x:c>
      <x:c r="E605" s="7" t="n">
        <x:v>105544.43</x:v>
      </x:c>
      <x:c r="F605" s="9" t="n">
        <x:v>3</x:v>
      </x:c>
      <x:c r="G605" s="2" t="str">
        <x:v>Новосибирск</x:v>
      </x:c>
      <x:c r="H605" s="7" t="n">
        <x:f>E605*F605</x:f>
        <x:v>316633.29</x:v>
      </x:c>
      <x:c r="I605" s="2" t="str">
        <x:f>TEXT(B605,"yyyy-mm")</x:f>
        <x:v>2023-07</x:v>
      </x:c>
      <x:c r="J605" s="8" t="n">
        <x:f>COUNTIFS($H$2:$H$1201,"&gt;"&amp;H605)+COUNTIFS($H$2:H605,H605)</x:f>
        <x:v>617</x:v>
      </x:c>
      <x:c r="K605" s="1"/>
      <x:c r="L605" s="1"/>
    </x:row>
    <x:row r="606" ht="22" customHeight="1">
      <x:c r="A606" s="8" t="n">
        <x:v>84</x:v>
      </x:c>
      <x:c r="B606" s="6" t="n">
        <x:v>45118</x:v>
      </x:c>
      <x:c r="C606" s="2" t="str">
        <x:v>Товары для дома</x:v>
      </x:c>
      <x:c r="D606" s="2" t="str">
        <x:v>Полотенце</x:v>
      </x:c>
      <x:c r="E606" s="7" t="n">
        <x:v>47109.14</x:v>
      </x:c>
      <x:c r="F606" s="9" t="n">
        <x:v>8</x:v>
      </x:c>
      <x:c r="G606" s="2" t="str">
        <x:v>Москва</x:v>
      </x:c>
      <x:c r="H606" s="7" t="n">
        <x:f>E606*F606</x:f>
        <x:v>376873.12</x:v>
      </x:c>
      <x:c r="I606" s="2" t="str">
        <x:f>TEXT(B606,"yyyy-mm")</x:f>
        <x:v>2023-07</x:v>
      </x:c>
      <x:c r="J606" s="8" t="n">
        <x:f>COUNTIFS($H$2:$H$1201,"&gt;"&amp;H606)+COUNTIFS($H$2:H606,H606)</x:f>
        <x:v>552</x:v>
      </x:c>
      <x:c r="K606" s="1"/>
      <x:c r="L606" s="1"/>
    </x:row>
    <x:row r="607" ht="22" customHeight="1">
      <x:c r="A607" s="8" t="n">
        <x:v>619</x:v>
      </x:c>
      <x:c r="B607" s="6" t="n">
        <x:v>45118</x:v>
      </x:c>
      <x:c r="C607" s="2" t="str">
        <x:v>Продукты</x:v>
      </x:c>
      <x:c r="D607" s="2" t="str">
        <x:v>Хлеб</x:v>
      </x:c>
      <x:c r="E607" s="7" t="n">
        <x:v>81563.36</x:v>
      </x:c>
      <x:c r="F607" s="9" t="n">
        <x:v>9</x:v>
      </x:c>
      <x:c r="G607" s="2" t="str">
        <x:v>Санкт‑Петербург</x:v>
      </x:c>
      <x:c r="H607" s="7" t="n">
        <x:f>E607*F607</x:f>
        <x:v>734070.24</x:v>
      </x:c>
      <x:c r="I607" s="2" t="str">
        <x:f>TEXT(B607,"yyyy-mm")</x:f>
        <x:v>2023-07</x:v>
      </x:c>
      <x:c r="J607" s="8" t="n">
        <x:f>COUNTIFS($H$2:$H$1201,"&gt;"&amp;H607)+COUNTIFS($H$2:H607,H607)</x:f>
        <x:v>237</x:v>
      </x:c>
      <x:c r="K607" s="1"/>
      <x:c r="L607" s="1"/>
    </x:row>
    <x:row r="608" ht="22" customHeight="1">
      <x:c r="A608" s="8" t="n">
        <x:v>2</x:v>
      </x:c>
      <x:c r="B608" s="6" t="n">
        <x:v>45119</x:v>
      </x:c>
      <x:c r="C608" s="2" t="str">
        <x:v>Электроника</x:v>
      </x:c>
      <x:c r="D608" s="2" t="str">
        <x:v>Наушники</x:v>
      </x:c>
      <x:c r="E608" s="7" t="n">
        <x:v>141564.13</x:v>
      </x:c>
      <x:c r="F608" s="9" t="n">
        <x:v>9</x:v>
      </x:c>
      <x:c r="G608" s="2" t="str">
        <x:v>Екатеринбург</x:v>
      </x:c>
      <x:c r="H608" s="7" t="n">
        <x:f>E608*F608</x:f>
        <x:v>1274077.17</x:v>
      </x:c>
      <x:c r="I608" s="2" t="str">
        <x:f>TEXT(B608,"yyyy-mm")</x:f>
        <x:v>2023-07</x:v>
      </x:c>
      <x:c r="J608" s="8" t="n">
        <x:f>COUNTIFS($H$2:$H$1201,"&gt;"&amp;H608)+COUNTIFS($H$2:H608,H608)</x:f>
        <x:v>22</x:v>
      </x:c>
      <x:c r="K608" s="1"/>
      <x:c r="L608" s="1"/>
    </x:row>
    <x:row r="609" ht="22" customHeight="1">
      <x:c r="A609" s="8" t="n">
        <x:v>425</x:v>
      </x:c>
      <x:c r="B609" s="6" t="n">
        <x:v>45119</x:v>
      </x:c>
      <x:c r="C609" s="2" t="str">
        <x:v>Электроника</x:v>
      </x:c>
      <x:c r="D609" s="2" t="str">
        <x:v>Смартфон</x:v>
      </x:c>
      <x:c r="E609" s="7" t="n">
        <x:v>37869.64</x:v>
      </x:c>
      <x:c r="F609" s="9" t="n">
        <x:v>7</x:v>
      </x:c>
      <x:c r="G609" s="2" t="str">
        <x:v>Санкт‑Петербург</x:v>
      </x:c>
      <x:c r="H609" s="7" t="n">
        <x:f>E609*F609</x:f>
        <x:v>265087.48</x:v>
      </x:c>
      <x:c r="I609" s="2" t="str">
        <x:f>TEXT(B609,"yyyy-mm")</x:f>
        <x:v>2023-07</x:v>
      </x:c>
      <x:c r="J609" s="8" t="n">
        <x:f>COUNTIFS($H$2:$H$1201,"&gt;"&amp;H609)+COUNTIFS($H$2:H609,H609)</x:f>
        <x:v>675</x:v>
      </x:c>
      <x:c r="K609" s="1"/>
      <x:c r="L609" s="1"/>
    </x:row>
    <x:row r="610" ht="22" customHeight="1">
      <x:c r="A610" s="8" t="n">
        <x:v>800</x:v>
      </x:c>
      <x:c r="B610" s="6" t="n">
        <x:v>45119</x:v>
      </x:c>
      <x:c r="C610" s="2" t="str">
        <x:v>Электроника</x:v>
      </x:c>
      <x:c r="D610" s="2" t="str">
        <x:v>Наушники</x:v>
      </x:c>
      <x:c r="E610" s="7" t="n">
        <x:v>124780.94</x:v>
      </x:c>
      <x:c r="F610" s="9" t="n">
        <x:v>5</x:v>
      </x:c>
      <x:c r="G610" s="2" t="str">
        <x:v>Екатеринбург</x:v>
      </x:c>
      <x:c r="H610" s="7" t="n">
        <x:f>E610*F610</x:f>
        <x:v>623904.7</x:v>
      </x:c>
      <x:c r="I610" s="2" t="str">
        <x:f>TEXT(B610,"yyyy-mm")</x:f>
        <x:v>2023-07</x:v>
      </x:c>
      <x:c r="J610" s="8" t="n">
        <x:f>COUNTIFS($H$2:$H$1201,"&gt;"&amp;H610)+COUNTIFS($H$2:H610,H610)</x:f>
        <x:v>306</x:v>
      </x:c>
      <x:c r="K610" s="1"/>
      <x:c r="L610" s="1"/>
    </x:row>
    <x:row r="611" ht="22" customHeight="1">
      <x:c r="A611" s="8" t="n">
        <x:v>866</x:v>
      </x:c>
      <x:c r="B611" s="6" t="n">
        <x:v>45119</x:v>
      </x:c>
      <x:c r="C611" s="2" t="str">
        <x:v>Одежда</x:v>
      </x:c>
      <x:c r="D611" s="2" t="str">
        <x:v>Куртка</x:v>
      </x:c>
      <x:c r="E611" s="7" t="n">
        <x:v>101648.75</x:v>
      </x:c>
      <x:c r="F611" s="9" t="n">
        <x:v>7</x:v>
      </x:c>
      <x:c r="G611" s="2" t="str">
        <x:v>Новосибирск</x:v>
      </x:c>
      <x:c r="H611" s="7" t="n">
        <x:f>E611*F611</x:f>
        <x:v>711541.25</x:v>
      </x:c>
      <x:c r="I611" s="2" t="str">
        <x:f>TEXT(B611,"yyyy-mm")</x:f>
        <x:v>2023-07</x:v>
      </x:c>
      <x:c r="J611" s="8" t="n">
        <x:f>COUNTIFS($H$2:$H$1201,"&gt;"&amp;H611)+COUNTIFS($H$2:H611,H611)</x:f>
        <x:v>256</x:v>
      </x:c>
      <x:c r="K611" s="1"/>
      <x:c r="L611" s="1"/>
    </x:row>
    <x:row r="612" ht="22" customHeight="1">
      <x:c r="A612" s="8" t="n">
        <x:v>1155</x:v>
      </x:c>
      <x:c r="B612" s="6" t="n">
        <x:v>45119</x:v>
      </x:c>
      <x:c r="C612" s="2" t="str">
        <x:v>Одежда</x:v>
      </x:c>
      <x:c r="D612" s="2" t="str">
        <x:v>Футболка</x:v>
      </x:c>
      <x:c r="E612" s="7" t="n">
        <x:v>26727.2</x:v>
      </x:c>
      <x:c r="F612" s="9" t="n">
        <x:v>8</x:v>
      </x:c>
      <x:c r="G612" s="2" t="str">
        <x:v>Казань</x:v>
      </x:c>
      <x:c r="H612" s="7" t="n">
        <x:f>E612*F612</x:f>
        <x:v>213817.6</x:v>
      </x:c>
      <x:c r="I612" s="2" t="str">
        <x:f>TEXT(B612,"yyyy-mm")</x:f>
        <x:v>2023-07</x:v>
      </x:c>
      <x:c r="J612" s="8" t="n">
        <x:f>COUNTIFS($H$2:$H$1201,"&gt;"&amp;H612)+COUNTIFS($H$2:H612,H612)</x:f>
        <x:v>769</x:v>
      </x:c>
      <x:c r="K612" s="1"/>
      <x:c r="L612" s="1"/>
    </x:row>
    <x:row r="613" ht="22" customHeight="1">
      <x:c r="A613" s="8" t="n">
        <x:v>1080</x:v>
      </x:c>
      <x:c r="B613" s="6" t="n">
        <x:v>45120</x:v>
      </x:c>
      <x:c r="C613" s="2" t="str">
        <x:v>Одежда</x:v>
      </x:c>
      <x:c r="D613" s="2" t="str">
        <x:v>Джинсы</x:v>
      </x:c>
      <x:c r="E613" s="7" t="n">
        <x:v>47604.93</x:v>
      </x:c>
      <x:c r="F613" s="9" t="n">
        <x:v>5</x:v>
      </x:c>
      <x:c r="G613" s="2" t="str">
        <x:v>Казань</x:v>
      </x:c>
      <x:c r="H613" s="7" t="n">
        <x:f>E613*F613</x:f>
        <x:v>238024.65</x:v>
      </x:c>
      <x:c r="I613" s="2" t="str">
        <x:f>TEXT(B613,"yyyy-mm")</x:f>
        <x:v>2023-07</x:v>
      </x:c>
      <x:c r="J613" s="8" t="n">
        <x:f>COUNTIFS($H$2:$H$1201,"&gt;"&amp;H613)+COUNTIFS($H$2:H613,H613)</x:f>
        <x:v>726</x:v>
      </x:c>
      <x:c r="K613" s="1"/>
      <x:c r="L613" s="1"/>
    </x:row>
    <x:row r="614" ht="22" customHeight="1">
      <x:c r="A614" s="8" t="n">
        <x:v>196</x:v>
      </x:c>
      <x:c r="B614" s="6" t="n">
        <x:v>45121</x:v>
      </x:c>
      <x:c r="C614" s="2" t="str">
        <x:v>Товары для дома</x:v>
      </x:c>
      <x:c r="D614" s="2" t="str">
        <x:v>Кружка</x:v>
      </x:c>
      <x:c r="E614" s="7" t="n">
        <x:v>39983.63</x:v>
      </x:c>
      <x:c r="F614" s="9" t="n">
        <x:v>10</x:v>
      </x:c>
      <x:c r="G614" s="2" t="str">
        <x:v>Казань</x:v>
      </x:c>
      <x:c r="H614" s="7" t="n">
        <x:f>E614*F614</x:f>
        <x:v>399836.3</x:v>
      </x:c>
      <x:c r="I614" s="2" t="str">
        <x:f>TEXT(B614,"yyyy-mm")</x:f>
        <x:v>2023-07</x:v>
      </x:c>
      <x:c r="J614" s="8" t="n">
        <x:f>COUNTIFS($H$2:$H$1201,"&gt;"&amp;H614)+COUNTIFS($H$2:H614,H614)</x:f>
        <x:v>517</x:v>
      </x:c>
      <x:c r="K614" s="1"/>
      <x:c r="L614" s="1"/>
    </x:row>
    <x:row r="615" ht="22" customHeight="1">
      <x:c r="A615" s="8" t="n">
        <x:v>391</x:v>
      </x:c>
      <x:c r="B615" s="6" t="n">
        <x:v>45121</x:v>
      </x:c>
      <x:c r="C615" s="2" t="str">
        <x:v>Электроника</x:v>
      </x:c>
      <x:c r="D615" s="2" t="str">
        <x:v>Ноутбук</x:v>
      </x:c>
      <x:c r="E615" s="7" t="n">
        <x:v>103783.64</x:v>
      </x:c>
      <x:c r="F615" s="9" t="n">
        <x:v>1</x:v>
      </x:c>
      <x:c r="G615" s="2" t="str">
        <x:v>Московская область</x:v>
      </x:c>
      <x:c r="H615" s="7" t="n">
        <x:f>E615*F615</x:f>
        <x:v>103783.64</x:v>
      </x:c>
      <x:c r="I615" s="2" t="str">
        <x:f>TEXT(B615,"yyyy-mm")</x:f>
        <x:v>2023-07</x:v>
      </x:c>
      <x:c r="J615" s="8" t="n">
        <x:f>COUNTIFS($H$2:$H$1201,"&gt;"&amp;H615)+COUNTIFS($H$2:H615,H615)</x:f>
        <x:v>964</x:v>
      </x:c>
      <x:c r="K615" s="1"/>
      <x:c r="L615" s="1"/>
    </x:row>
    <x:row r="616" ht="22" customHeight="1">
      <x:c r="A616" s="8" t="n">
        <x:v>41</x:v>
      </x:c>
      <x:c r="B616" s="6" t="n">
        <x:v>45122</x:v>
      </x:c>
      <x:c r="C616" s="2" t="str">
        <x:v>Товары для дома</x:v>
      </x:c>
      <x:c r="D616" s="2" t="str">
        <x:v>Полотенце</x:v>
      </x:c>
      <x:c r="E616" s="7" t="n">
        <x:v>49483.89</x:v>
      </x:c>
      <x:c r="F616" s="9" t="n">
        <x:v>9</x:v>
      </x:c>
      <x:c r="G616" s="2" t="str">
        <x:v>Екатеринбург</x:v>
      </x:c>
      <x:c r="H616" s="7" t="n">
        <x:f>E616*F616</x:f>
        <x:v>445355.01</x:v>
      </x:c>
      <x:c r="I616" s="2" t="str">
        <x:f>TEXT(B616,"yyyy-mm")</x:f>
        <x:v>2023-07</x:v>
      </x:c>
      <x:c r="J616" s="8" t="n">
        <x:f>COUNTIFS($H$2:$H$1201,"&gt;"&amp;H616)+COUNTIFS($H$2:H616,H616)</x:f>
        <x:v>458</x:v>
      </x:c>
      <x:c r="K616" s="1"/>
      <x:c r="L616" s="1"/>
    </x:row>
    <x:row r="617" ht="22" customHeight="1">
      <x:c r="A617" s="8" t="n">
        <x:v>578</x:v>
      </x:c>
      <x:c r="B617" s="6" t="n">
        <x:v>45122</x:v>
      </x:c>
      <x:c r="C617" s="2" t="str">
        <x:v>Товары для дома</x:v>
      </x:c>
      <x:c r="D617" s="2" t="str">
        <x:v>Полотенце</x:v>
      </x:c>
      <x:c r="E617" s="7" t="n">
        <x:v>34836.42</x:v>
      </x:c>
      <x:c r="F617" s="9" t="n">
        <x:v>1</x:v>
      </x:c>
      <x:c r="G617" s="2" t="str">
        <x:v>Новосибирск</x:v>
      </x:c>
      <x:c r="H617" s="7" t="n">
        <x:f>E617*F617</x:f>
        <x:v>34836.42</x:v>
      </x:c>
      <x:c r="I617" s="2" t="str">
        <x:f>TEXT(B617,"yyyy-mm")</x:f>
        <x:v>2023-07</x:v>
      </x:c>
      <x:c r="J617" s="8" t="n">
        <x:f>COUNTIFS($H$2:$H$1201,"&gt;"&amp;H617)+COUNTIFS($H$2:H617,H617)</x:f>
        <x:v>1112</x:v>
      </x:c>
      <x:c r="K617" s="1"/>
      <x:c r="L617" s="1"/>
    </x:row>
    <x:row r="618" ht="22" customHeight="1">
      <x:c r="A618" s="8" t="n">
        <x:v>999</x:v>
      </x:c>
      <x:c r="B618" s="6" t="n">
        <x:v>45122</x:v>
      </x:c>
      <x:c r="C618" s="2" t="str">
        <x:v>Продукты</x:v>
      </x:c>
      <x:c r="D618" s="2" t="str">
        <x:v>Кофе</x:v>
      </x:c>
      <x:c r="E618" s="7" t="n">
        <x:v>100463.62</x:v>
      </x:c>
      <x:c r="F618" s="9" t="n">
        <x:v>7</x:v>
      </x:c>
      <x:c r="G618" s="2" t="str">
        <x:v>Санкт‑Петербург</x:v>
      </x:c>
      <x:c r="H618" s="7" t="n">
        <x:f>E618*F618</x:f>
        <x:v>703245.34</x:v>
      </x:c>
      <x:c r="I618" s="2" t="str">
        <x:f>TEXT(B618,"yyyy-mm")</x:f>
        <x:v>2023-07</x:v>
      </x:c>
      <x:c r="J618" s="8" t="n">
        <x:f>COUNTIFS($H$2:$H$1201,"&gt;"&amp;H618)+COUNTIFS($H$2:H618,H618)</x:f>
        <x:v>261</x:v>
      </x:c>
      <x:c r="K618" s="1"/>
      <x:c r="L618" s="1"/>
    </x:row>
    <x:row r="619" ht="22" customHeight="1">
      <x:c r="A619" s="8" t="n">
        <x:v>78</x:v>
      </x:c>
      <x:c r="B619" s="6" t="n">
        <x:v>45123</x:v>
      </x:c>
      <x:c r="C619" s="2" t="str">
        <x:v>Товары для дома</x:v>
      </x:c>
      <x:c r="D619" s="2" t="str">
        <x:v>Подушка</x:v>
      </x:c>
      <x:c r="E619" s="7" t="n">
        <x:v>11050.22</x:v>
      </x:c>
      <x:c r="F619" s="9" t="n">
        <x:v>10</x:v>
      </x:c>
      <x:c r="G619" s="2" t="str">
        <x:v>Московская область</x:v>
      </x:c>
      <x:c r="H619" s="7" t="n">
        <x:f>E619*F619</x:f>
        <x:v>110502.2</x:v>
      </x:c>
      <x:c r="I619" s="2" t="str">
        <x:f>TEXT(B619,"yyyy-mm")</x:f>
        <x:v>2023-07</x:v>
      </x:c>
      <x:c r="J619" s="8" t="n">
        <x:f>COUNTIFS($H$2:$H$1201,"&gt;"&amp;H619)+COUNTIFS($H$2:H619,H619)</x:f>
        <x:v>950</x:v>
      </x:c>
      <x:c r="K619" s="1"/>
      <x:c r="L619" s="1"/>
    </x:row>
    <x:row r="620" ht="22" customHeight="1">
      <x:c r="A620" s="8" t="n">
        <x:v>89</x:v>
      </x:c>
      <x:c r="B620" s="6" t="n">
        <x:v>45123</x:v>
      </x:c>
      <x:c r="C620" s="2" t="str">
        <x:v>Продукты</x:v>
      </x:c>
      <x:c r="D620" s="2" t="str">
        <x:v>Шоколад</x:v>
      </x:c>
      <x:c r="E620" s="7" t="n">
        <x:v>73082.8</x:v>
      </x:c>
      <x:c r="F620" s="9" t="n">
        <x:v>1</x:v>
      </x:c>
      <x:c r="G620" s="2" t="str">
        <x:v>Новосибирск</x:v>
      </x:c>
      <x:c r="H620" s="7" t="n">
        <x:f>E620*F620</x:f>
        <x:v>73082.8</x:v>
      </x:c>
      <x:c r="I620" s="2" t="str">
        <x:f>TEXT(B620,"yyyy-mm")</x:f>
        <x:v>2023-07</x:v>
      </x:c>
      <x:c r="J620" s="8" t="n">
        <x:f>COUNTIFS($H$2:$H$1201,"&gt;"&amp;H620)+COUNTIFS($H$2:H620,H620)</x:f>
        <x:v>1032</x:v>
      </x:c>
      <x:c r="K620" s="1"/>
      <x:c r="L620" s="1"/>
    </x:row>
    <x:row r="621" ht="22" customHeight="1">
      <x:c r="A621" s="8" t="n">
        <x:v>239</x:v>
      </x:c>
      <x:c r="B621" s="6" t="n">
        <x:v>45123</x:v>
      </x:c>
      <x:c r="C621" s="2" t="str">
        <x:v>Электроника</x:v>
      </x:c>
      <x:c r="D621" s="2" t="str">
        <x:v>Смартфон</x:v>
      </x:c>
      <x:c r="E621" s="7" t="n">
        <x:v>100344.88</x:v>
      </x:c>
      <x:c r="F621" s="9" t="n">
        <x:v>9</x:v>
      </x:c>
      <x:c r="G621" s="2" t="str">
        <x:v>Казань</x:v>
      </x:c>
      <x:c r="H621" s="7" t="n">
        <x:f>E621*F621</x:f>
        <x:v>903103.92</x:v>
      </x:c>
      <x:c r="I621" s="2" t="str">
        <x:f>TEXT(B621,"yyyy-mm")</x:f>
        <x:v>2023-07</x:v>
      </x:c>
      <x:c r="J621" s="8" t="n">
        <x:f>COUNTIFS($H$2:$H$1201,"&gt;"&amp;H621)+COUNTIFS($H$2:H621,H621)</x:f>
        <x:v>134</x:v>
      </x:c>
      <x:c r="K621" s="1"/>
      <x:c r="L621" s="1"/>
    </x:row>
    <x:row r="622" ht="22" customHeight="1">
      <x:c r="A622" s="8" t="n">
        <x:v>990</x:v>
      </x:c>
      <x:c r="B622" s="6" t="n">
        <x:v>45123</x:v>
      </x:c>
      <x:c r="C622" s="2" t="str">
        <x:v>Электроника</x:v>
      </x:c>
      <x:c r="D622" s="2" t="str">
        <x:v>Планшет</x:v>
      </x:c>
      <x:c r="E622" s="7" t="n">
        <x:v>74341.8</x:v>
      </x:c>
      <x:c r="F622" s="9" t="n">
        <x:v>4</x:v>
      </x:c>
      <x:c r="G622" s="2" t="str">
        <x:v>Москва</x:v>
      </x:c>
      <x:c r="H622" s="7" t="n">
        <x:f>E622*F622</x:f>
        <x:v>297367.2</x:v>
      </x:c>
      <x:c r="I622" s="2" t="str">
        <x:f>TEXT(B622,"yyyy-mm")</x:f>
        <x:v>2023-07</x:v>
      </x:c>
      <x:c r="J622" s="8" t="n">
        <x:f>COUNTIFS($H$2:$H$1201,"&gt;"&amp;H622)+COUNTIFS($H$2:H622,H622)</x:f>
        <x:v>636</x:v>
      </x:c>
      <x:c r="K622" s="1"/>
      <x:c r="L622" s="1"/>
    </x:row>
    <x:row r="623" ht="22" customHeight="1">
      <x:c r="A623" s="8" t="n">
        <x:v>124</x:v>
      </x:c>
      <x:c r="B623" s="6" t="n">
        <x:v>45124</x:v>
      </x:c>
      <x:c r="C623" s="2" t="str">
        <x:v>Товары для дома</x:v>
      </x:c>
      <x:c r="D623" s="2" t="str">
        <x:v>Плед</x:v>
      </x:c>
      <x:c r="E623" s="7" t="n">
        <x:v>75654.7</x:v>
      </x:c>
      <x:c r="F623" s="9" t="n">
        <x:v>5</x:v>
      </x:c>
      <x:c r="G623" s="2" t="str">
        <x:v>Казань</x:v>
      </x:c>
      <x:c r="H623" s="7" t="n">
        <x:f>E623*F623</x:f>
        <x:v>378273.5</x:v>
      </x:c>
      <x:c r="I623" s="2" t="str">
        <x:f>TEXT(B623,"yyyy-mm")</x:f>
        <x:v>2023-07</x:v>
      </x:c>
      <x:c r="J623" s="8" t="n">
        <x:f>COUNTIFS($H$2:$H$1201,"&gt;"&amp;H623)+COUNTIFS($H$2:H623,H623)</x:f>
        <x:v>551</x:v>
      </x:c>
      <x:c r="K623" s="1"/>
      <x:c r="L623" s="1"/>
    </x:row>
    <x:row r="624" ht="22" customHeight="1">
      <x:c r="A624" s="8" t="n">
        <x:v>336</x:v>
      </x:c>
      <x:c r="B624" s="6" t="n">
        <x:v>45124</x:v>
      </x:c>
      <x:c r="C624" s="2" t="str">
        <x:v>Продукты</x:v>
      </x:c>
      <x:c r="D624" s="2" t="str">
        <x:v>Шоколад</x:v>
      </x:c>
      <x:c r="E624" s="7" t="n">
        <x:v>19796.99</x:v>
      </x:c>
      <x:c r="F624" s="9" t="n">
        <x:v>1</x:v>
      </x:c>
      <x:c r="G624" s="2" t="str">
        <x:v>Москва</x:v>
      </x:c>
      <x:c r="H624" s="7" t="n">
        <x:f>E624*F624</x:f>
        <x:v>19796.99</x:v>
      </x:c>
      <x:c r="I624" s="2" t="str">
        <x:f>TEXT(B624,"yyyy-mm")</x:f>
        <x:v>2023-07</x:v>
      </x:c>
      <x:c r="J624" s="8" t="n">
        <x:f>COUNTIFS($H$2:$H$1201,"&gt;"&amp;H624)+COUNTIFS($H$2:H624,H624)</x:f>
        <x:v>1154</x:v>
      </x:c>
      <x:c r="K624" s="1"/>
      <x:c r="L624" s="1"/>
    </x:row>
    <x:row r="625" ht="22" customHeight="1">
      <x:c r="A625" s="8" t="n">
        <x:v>580</x:v>
      </x:c>
      <x:c r="B625" s="6" t="n">
        <x:v>45124</x:v>
      </x:c>
      <x:c r="C625" s="2" t="str">
        <x:v>Продукты</x:v>
      </x:c>
      <x:c r="D625" s="2" t="str">
        <x:v>Шоколад</x:v>
      </x:c>
      <x:c r="E625" s="7" t="n">
        <x:v>95390.23</x:v>
      </x:c>
      <x:c r="F625" s="9" t="n">
        <x:v>10</x:v>
      </x:c>
      <x:c r="G625" s="2" t="str">
        <x:v>Москва</x:v>
      </x:c>
      <x:c r="H625" s="7" t="n">
        <x:f>E625*F625</x:f>
        <x:v>953902.2999999999</x:v>
      </x:c>
      <x:c r="I625" s="2" t="str">
        <x:f>TEXT(B625,"yyyy-mm")</x:f>
        <x:v>2023-07</x:v>
      </x:c>
      <x:c r="J625" s="8" t="n">
        <x:f>COUNTIFS($H$2:$H$1201,"&gt;"&amp;H625)+COUNTIFS($H$2:H625,H625)</x:f>
        <x:v>108</x:v>
      </x:c>
      <x:c r="K625" s="1"/>
      <x:c r="L625" s="1"/>
    </x:row>
    <x:row r="626" ht="22" customHeight="1">
      <x:c r="A626" s="8" t="n">
        <x:v>880</x:v>
      </x:c>
      <x:c r="B626" s="6" t="n">
        <x:v>45124</x:v>
      </x:c>
      <x:c r="C626" s="2" t="str">
        <x:v>Продукты</x:v>
      </x:c>
      <x:c r="D626" s="2" t="str">
        <x:v>Хлеб</x:v>
      </x:c>
      <x:c r="E626" s="7" t="n">
        <x:v>76561.71</x:v>
      </x:c>
      <x:c r="F626" s="9" t="n">
        <x:v>7</x:v>
      </x:c>
      <x:c r="G626" s="2" t="str">
        <x:v>Новосибирск</x:v>
      </x:c>
      <x:c r="H626" s="7" t="n">
        <x:f>E626*F626</x:f>
        <x:v>535931.9700000001</x:v>
      </x:c>
      <x:c r="I626" s="2" t="str">
        <x:f>TEXT(B626,"yyyy-mm")</x:f>
        <x:v>2023-07</x:v>
      </x:c>
      <x:c r="J626" s="8" t="n">
        <x:f>COUNTIFS($H$2:$H$1201,"&gt;"&amp;H626)+COUNTIFS($H$2:H626,H626)</x:f>
        <x:v>381</x:v>
      </x:c>
      <x:c r="K626" s="1"/>
      <x:c r="L626" s="1"/>
    </x:row>
    <x:row r="627" ht="22" customHeight="1">
      <x:c r="A627" s="8" t="n">
        <x:v>12</x:v>
      </x:c>
      <x:c r="B627" s="6" t="n">
        <x:v>45125</x:v>
      </x:c>
      <x:c r="C627" s="2" t="str">
        <x:v>Продукты</x:v>
      </x:c>
      <x:c r="D627" s="2" t="str">
        <x:v>Шоколад</x:v>
      </x:c>
      <x:c r="E627" s="7" t="n">
        <x:v>131229.66</x:v>
      </x:c>
      <x:c r="F627" s="9" t="n">
        <x:v>3</x:v>
      </x:c>
      <x:c r="G627" s="2" t="str">
        <x:v>Новосибирск</x:v>
      </x:c>
      <x:c r="H627" s="7" t="n">
        <x:f>E627*F627</x:f>
        <x:v>393688.98</x:v>
      </x:c>
      <x:c r="I627" s="2" t="str">
        <x:f>TEXT(B627,"yyyy-mm")</x:f>
        <x:v>2023-07</x:v>
      </x:c>
      <x:c r="J627" s="8" t="n">
        <x:f>COUNTIFS($H$2:$H$1201,"&gt;"&amp;H627)+COUNTIFS($H$2:H627,H627)</x:f>
        <x:v>529</x:v>
      </x:c>
      <x:c r="K627" s="1"/>
      <x:c r="L627" s="1"/>
    </x:row>
    <x:row r="628" ht="22" customHeight="1">
      <x:c r="A628" s="8" t="n">
        <x:v>907</x:v>
      </x:c>
      <x:c r="B628" s="6" t="n">
        <x:v>45125</x:v>
      </x:c>
      <x:c r="C628" s="2" t="str">
        <x:v>Одежда</x:v>
      </x:c>
      <x:c r="D628" s="2" t="str">
        <x:v>Куртка</x:v>
      </x:c>
      <x:c r="E628" s="7" t="n">
        <x:v>107787.07</x:v>
      </x:c>
      <x:c r="F628" s="9" t="n">
        <x:v>4</x:v>
      </x:c>
      <x:c r="G628" s="2" t="str">
        <x:v>Казань</x:v>
      </x:c>
      <x:c r="H628" s="7" t="n">
        <x:f>E628*F628</x:f>
        <x:v>431148.28</x:v>
      </x:c>
      <x:c r="I628" s="2" t="str">
        <x:f>TEXT(B628,"yyyy-mm")</x:f>
        <x:v>2023-07</x:v>
      </x:c>
      <x:c r="J628" s="8" t="n">
        <x:f>COUNTIFS($H$2:$H$1201,"&gt;"&amp;H628)+COUNTIFS($H$2:H628,H628)</x:f>
        <x:v>480</x:v>
      </x:c>
      <x:c r="K628" s="1"/>
      <x:c r="L628" s="1"/>
    </x:row>
    <x:row r="629" ht="22" customHeight="1">
      <x:c r="A629" s="8" t="n">
        <x:v>1088</x:v>
      </x:c>
      <x:c r="B629" s="6" t="n">
        <x:v>45125</x:v>
      </x:c>
      <x:c r="C629" s="2" t="str">
        <x:v>Товары для дома</x:v>
      </x:c>
      <x:c r="D629" s="2" t="str">
        <x:v>Подушка</x:v>
      </x:c>
      <x:c r="E629" s="7" t="n">
        <x:v>22056.47</x:v>
      </x:c>
      <x:c r="F629" s="9" t="n">
        <x:v>9</x:v>
      </x:c>
      <x:c r="G629" s="2" t="str">
        <x:v>Казань</x:v>
      </x:c>
      <x:c r="H629" s="7" t="n">
        <x:f>E629*F629</x:f>
        <x:v>198508.23</x:v>
      </x:c>
      <x:c r="I629" s="2" t="str">
        <x:f>TEXT(B629,"yyyy-mm")</x:f>
        <x:v>2023-07</x:v>
      </x:c>
      <x:c r="J629" s="8" t="n">
        <x:f>COUNTIFS($H$2:$H$1201,"&gt;"&amp;H629)+COUNTIFS($H$2:H629,H629)</x:f>
        <x:v>787</x:v>
      </x:c>
      <x:c r="K629" s="1"/>
      <x:c r="L629" s="1"/>
    </x:row>
    <x:row r="630" ht="22" customHeight="1">
      <x:c r="A630" s="8" t="n">
        <x:v>1172</x:v>
      </x:c>
      <x:c r="B630" s="6" t="n">
        <x:v>45125</x:v>
      </x:c>
      <x:c r="C630" s="2" t="str">
        <x:v>Электроника</x:v>
      </x:c>
      <x:c r="D630" s="2" t="str">
        <x:v>Планшет</x:v>
      </x:c>
      <x:c r="E630" s="7" t="n">
        <x:v>8506.11</x:v>
      </x:c>
      <x:c r="F630" s="9" t="n">
        <x:v>1</x:v>
      </x:c>
      <x:c r="G630" s="2" t="str">
        <x:v>Московская область</x:v>
      </x:c>
      <x:c r="H630" s="7" t="n">
        <x:f>E630*F630</x:f>
        <x:v>8506.11</x:v>
      </x:c>
      <x:c r="I630" s="2" t="str">
        <x:f>TEXT(B630,"yyyy-mm")</x:f>
        <x:v>2023-07</x:v>
      </x:c>
      <x:c r="J630" s="8" t="n">
        <x:f>COUNTIFS($H$2:$H$1201,"&gt;"&amp;H630)+COUNTIFS($H$2:H630,H630)</x:f>
        <x:v>1186</x:v>
      </x:c>
      <x:c r="K630" s="1"/>
      <x:c r="L630" s="1"/>
    </x:row>
    <x:row r="631" ht="22" customHeight="1">
      <x:c r="A631" s="8" t="n">
        <x:v>152</x:v>
      </x:c>
      <x:c r="B631" s="6" t="n">
        <x:v>45126</x:v>
      </x:c>
      <x:c r="C631" s="2" t="str">
        <x:v>Электроника</x:v>
      </x:c>
      <x:c r="D631" s="2" t="str">
        <x:v>Смартфон</x:v>
      </x:c>
      <x:c r="E631" s="7" t="n">
        <x:v>38721.93</x:v>
      </x:c>
      <x:c r="F631" s="9" t="n">
        <x:v>4</x:v>
      </x:c>
      <x:c r="G631" s="2" t="str">
        <x:v>Казань</x:v>
      </x:c>
      <x:c r="H631" s="7" t="n">
        <x:f>E631*F631</x:f>
        <x:v>154887.72</x:v>
      </x:c>
      <x:c r="I631" s="2" t="str">
        <x:f>TEXT(B631,"yyyy-mm")</x:f>
        <x:v>2023-07</x:v>
      </x:c>
      <x:c r="J631" s="8" t="n">
        <x:f>COUNTIFS($H$2:$H$1201,"&gt;"&amp;H631)+COUNTIFS($H$2:H631,H631)</x:f>
        <x:v>845</x:v>
      </x:c>
      <x:c r="K631" s="1"/>
      <x:c r="L631" s="1"/>
    </x:row>
    <x:row r="632" ht="22" customHeight="1">
      <x:c r="A632" s="8" t="n">
        <x:v>738</x:v>
      </x:c>
      <x:c r="B632" s="6" t="n">
        <x:v>45126</x:v>
      </x:c>
      <x:c r="C632" s="2" t="str">
        <x:v>Товары для дома</x:v>
      </x:c>
      <x:c r="D632" s="2" t="str">
        <x:v>Подушка</x:v>
      </x:c>
      <x:c r="E632" s="7" t="n">
        <x:v>147713.65</x:v>
      </x:c>
      <x:c r="F632" s="9" t="n">
        <x:v>1</x:v>
      </x:c>
      <x:c r="G632" s="2" t="str">
        <x:v>Новосибирск</x:v>
      </x:c>
      <x:c r="H632" s="7" t="n">
        <x:f>E632*F632</x:f>
        <x:v>147713.65</x:v>
      </x:c>
      <x:c r="I632" s="2" t="str">
        <x:f>TEXT(B632,"yyyy-mm")</x:f>
        <x:v>2023-07</x:v>
      </x:c>
      <x:c r="J632" s="8" t="n">
        <x:f>COUNTIFS($H$2:$H$1201,"&gt;"&amp;H632)+COUNTIFS($H$2:H632,H632)</x:f>
        <x:v>856</x:v>
      </x:c>
      <x:c r="K632" s="1"/>
      <x:c r="L632" s="1"/>
    </x:row>
    <x:row r="633" ht="22" customHeight="1">
      <x:c r="A633" s="8" t="n">
        <x:v>807</x:v>
      </x:c>
      <x:c r="B633" s="6" t="n">
        <x:v>45126</x:v>
      </x:c>
      <x:c r="C633" s="2" t="str">
        <x:v>Продукты</x:v>
      </x:c>
      <x:c r="D633" s="2" t="str">
        <x:v>Шоколад</x:v>
      </x:c>
      <x:c r="E633" s="7" t="n">
        <x:v>108416.47</x:v>
      </x:c>
      <x:c r="F633" s="9" t="n">
        <x:v>9</x:v>
      </x:c>
      <x:c r="G633" s="2" t="str">
        <x:v>Московская область</x:v>
      </x:c>
      <x:c r="H633" s="7" t="n">
        <x:f>E633*F633</x:f>
        <x:v>975748.23</x:v>
      </x:c>
      <x:c r="I633" s="2" t="str">
        <x:f>TEXT(B633,"yyyy-mm")</x:f>
        <x:v>2023-07</x:v>
      </x:c>
      <x:c r="J633" s="8" t="n">
        <x:f>COUNTIFS($H$2:$H$1201,"&gt;"&amp;H633)+COUNTIFS($H$2:H633,H633)</x:f>
        <x:v>99</x:v>
      </x:c>
      <x:c r="K633" s="1"/>
      <x:c r="L633" s="1"/>
    </x:row>
    <x:row r="634" ht="22" customHeight="1">
      <x:c r="A634" s="8" t="n">
        <x:v>341</x:v>
      </x:c>
      <x:c r="B634" s="6" t="n">
        <x:v>45127</x:v>
      </x:c>
      <x:c r="C634" s="2" t="str">
        <x:v>Электроника</x:v>
      </x:c>
      <x:c r="D634" s="2" t="str">
        <x:v>Наушники</x:v>
      </x:c>
      <x:c r="E634" s="7" t="n">
        <x:v>14923.77</x:v>
      </x:c>
      <x:c r="F634" s="9" t="n">
        <x:v>9</x:v>
      </x:c>
      <x:c r="G634" s="2" t="str">
        <x:v>Екатеринбург</x:v>
      </x:c>
      <x:c r="H634" s="7" t="n">
        <x:f>E634*F634</x:f>
        <x:v>134313.93</x:v>
      </x:c>
      <x:c r="I634" s="2" t="str">
        <x:f>TEXT(B634,"yyyy-mm")</x:f>
        <x:v>2023-07</x:v>
      </x:c>
      <x:c r="J634" s="8" t="n">
        <x:f>COUNTIFS($H$2:$H$1201,"&gt;"&amp;H634)+COUNTIFS($H$2:H634,H634)</x:f>
        <x:v>894</x:v>
      </x:c>
      <x:c r="K634" s="1"/>
      <x:c r="L634" s="1"/>
    </x:row>
    <x:row r="635" ht="22" customHeight="1">
      <x:c r="A635" s="8" t="n">
        <x:v>869</x:v>
      </x:c>
      <x:c r="B635" s="6" t="n">
        <x:v>45127</x:v>
      </x:c>
      <x:c r="C635" s="2" t="str">
        <x:v>Товары для дома</x:v>
      </x:c>
      <x:c r="D635" s="2" t="str">
        <x:v>Кружка</x:v>
      </x:c>
      <x:c r="E635" s="7" t="n">
        <x:v>63142.3</x:v>
      </x:c>
      <x:c r="F635" s="9" t="n">
        <x:v>6</x:v>
      </x:c>
      <x:c r="G635" s="2" t="str">
        <x:v>Казань</x:v>
      </x:c>
      <x:c r="H635" s="7" t="n">
        <x:f>E635*F635</x:f>
        <x:v>378853.80000000005</x:v>
      </x:c>
      <x:c r="I635" s="2" t="str">
        <x:f>TEXT(B635,"yyyy-mm")</x:f>
        <x:v>2023-07</x:v>
      </x:c>
      <x:c r="J635" s="8" t="n">
        <x:f>COUNTIFS($H$2:$H$1201,"&gt;"&amp;H635)+COUNTIFS($H$2:H635,H635)</x:f>
        <x:v>549</x:v>
      </x:c>
      <x:c r="K635" s="1"/>
      <x:c r="L635" s="1"/>
    </x:row>
    <x:row r="636" ht="22" customHeight="1">
      <x:c r="A636" s="8" t="n">
        <x:v>906</x:v>
      </x:c>
      <x:c r="B636" s="6" t="n">
        <x:v>45128</x:v>
      </x:c>
      <x:c r="C636" s="2" t="str">
        <x:v>Продукты</x:v>
      </x:c>
      <x:c r="D636" s="2" t="str">
        <x:v>Хлеб</x:v>
      </x:c>
      <x:c r="E636" s="7" t="n">
        <x:v>117667.42</x:v>
      </x:c>
      <x:c r="F636" s="9" t="n">
        <x:v>1</x:v>
      </x:c>
      <x:c r="G636" s="2" t="str">
        <x:v>Екатеринбург</x:v>
      </x:c>
      <x:c r="H636" s="7" t="n">
        <x:f>E636*F636</x:f>
        <x:v>117667.42</x:v>
      </x:c>
      <x:c r="I636" s="2" t="str">
        <x:f>TEXT(B636,"yyyy-mm")</x:f>
        <x:v>2023-07</x:v>
      </x:c>
      <x:c r="J636" s="8" t="n">
        <x:f>COUNTIFS($H$2:$H$1201,"&gt;"&amp;H636)+COUNTIFS($H$2:H636,H636)</x:f>
        <x:v>933</x:v>
      </x:c>
      <x:c r="K636" s="1"/>
      <x:c r="L636" s="1"/>
    </x:row>
    <x:row r="637" ht="22" customHeight="1">
      <x:c r="A637" s="8" t="n">
        <x:v>1074</x:v>
      </x:c>
      <x:c r="B637" s="6" t="n">
        <x:v>45128</x:v>
      </x:c>
      <x:c r="C637" s="2" t="str">
        <x:v>Одежда</x:v>
      </x:c>
      <x:c r="D637" s="2" t="str">
        <x:v>Кроссовки</x:v>
      </x:c>
      <x:c r="E637" s="7" t="n">
        <x:v>62621.9</x:v>
      </x:c>
      <x:c r="F637" s="9" t="n">
        <x:v>4</x:v>
      </x:c>
      <x:c r="G637" s="2" t="str">
        <x:v>Казань</x:v>
      </x:c>
      <x:c r="H637" s="7" t="n">
        <x:f>E637*F637</x:f>
        <x:v>250487.6</x:v>
      </x:c>
      <x:c r="I637" s="2" t="str">
        <x:f>TEXT(B637,"yyyy-mm")</x:f>
        <x:v>2023-07</x:v>
      </x:c>
      <x:c r="J637" s="8" t="n">
        <x:f>COUNTIFS($H$2:$H$1201,"&gt;"&amp;H637)+COUNTIFS($H$2:H637,H637)</x:f>
        <x:v>703</x:v>
      </x:c>
      <x:c r="K637" s="1"/>
      <x:c r="L637" s="1"/>
    </x:row>
    <x:row r="638" ht="22" customHeight="1">
      <x:c r="A638" s="8" t="n">
        <x:v>515</x:v>
      </x:c>
      <x:c r="B638" s="6" t="n">
        <x:v>45129</x:v>
      </x:c>
      <x:c r="C638" s="2" t="str">
        <x:v>Продукты</x:v>
      </x:c>
      <x:c r="D638" s="2" t="str">
        <x:v>Молоко</x:v>
      </x:c>
      <x:c r="E638" s="7" t="n">
        <x:v>118600.53</x:v>
      </x:c>
      <x:c r="F638" s="9" t="n">
        <x:v>10</x:v>
      </x:c>
      <x:c r="G638" s="2" t="str">
        <x:v>Москва</x:v>
      </x:c>
      <x:c r="H638" s="7" t="n">
        <x:f>E638*F638</x:f>
        <x:v>1186005.3</x:v>
      </x:c>
      <x:c r="I638" s="2" t="str">
        <x:f>TEXT(B638,"yyyy-mm")</x:f>
        <x:v>2023-07</x:v>
      </x:c>
      <x:c r="J638" s="8" t="n">
        <x:f>COUNTIFS($H$2:$H$1201,"&gt;"&amp;H638)+COUNTIFS($H$2:H638,H638)</x:f>
        <x:v>37</x:v>
      </x:c>
      <x:c r="K638" s="1"/>
      <x:c r="L638" s="1"/>
    </x:row>
    <x:row r="639" ht="22" customHeight="1">
      <x:c r="A639" s="8" t="n">
        <x:v>735</x:v>
      </x:c>
      <x:c r="B639" s="6" t="n">
        <x:v>45129</x:v>
      </x:c>
      <x:c r="C639" s="2" t="str">
        <x:v>Продукты</x:v>
      </x:c>
      <x:c r="D639" s="2" t="str">
        <x:v>Кофе</x:v>
      </x:c>
      <x:c r="E639" s="7" t="n">
        <x:v>146312.53</x:v>
      </x:c>
      <x:c r="F639" s="9" t="n">
        <x:v>5</x:v>
      </x:c>
      <x:c r="G639" s="2" t="str">
        <x:v>Московская область</x:v>
      </x:c>
      <x:c r="H639" s="7" t="n">
        <x:f>E639*F639</x:f>
        <x:v>731562.65</x:v>
      </x:c>
      <x:c r="I639" s="2" t="str">
        <x:f>TEXT(B639,"yyyy-mm")</x:f>
        <x:v>2023-07</x:v>
      </x:c>
      <x:c r="J639" s="8" t="n">
        <x:f>COUNTIFS($H$2:$H$1201,"&gt;"&amp;H639)+COUNTIFS($H$2:H639,H639)</x:f>
        <x:v>241</x:v>
      </x:c>
      <x:c r="K639" s="1"/>
      <x:c r="L639" s="1"/>
    </x:row>
    <x:row r="640" ht="22" customHeight="1">
      <x:c r="A640" s="8" t="n">
        <x:v>25</x:v>
      </x:c>
      <x:c r="B640" s="6" t="n">
        <x:v>45130</x:v>
      </x:c>
      <x:c r="C640" s="2" t="str">
        <x:v>Продукты</x:v>
      </x:c>
      <x:c r="D640" s="2" t="str">
        <x:v>Кофе</x:v>
      </x:c>
      <x:c r="E640" s="7" t="n">
        <x:v>11517</x:v>
      </x:c>
      <x:c r="F640" s="9" t="n">
        <x:v>1</x:v>
      </x:c>
      <x:c r="G640" s="2" t="str">
        <x:v>Екатеринбург</x:v>
      </x:c>
      <x:c r="H640" s="7" t="n">
        <x:f>E640*F640</x:f>
        <x:v>11517</x:v>
      </x:c>
      <x:c r="I640" s="2" t="str">
        <x:f>TEXT(B640,"yyyy-mm")</x:f>
        <x:v>2023-07</x:v>
      </x:c>
      <x:c r="J640" s="8" t="n">
        <x:f>COUNTIFS($H$2:$H$1201,"&gt;"&amp;H640)+COUNTIFS($H$2:H640,H640)</x:f>
        <x:v>1181</x:v>
      </x:c>
      <x:c r="K640" s="1"/>
      <x:c r="L640" s="1"/>
    </x:row>
    <x:row r="641" ht="22" customHeight="1">
      <x:c r="A641" s="8" t="n">
        <x:v>38</x:v>
      </x:c>
      <x:c r="B641" s="6" t="n">
        <x:v>45130</x:v>
      </x:c>
      <x:c r="C641" s="2" t="str">
        <x:v>Продукты</x:v>
      </x:c>
      <x:c r="D641" s="2" t="str">
        <x:v>Молоко</x:v>
      </x:c>
      <x:c r="E641" s="7" t="n">
        <x:v>128706.19</x:v>
      </x:c>
      <x:c r="F641" s="9" t="n">
        <x:v>9</x:v>
      </x:c>
      <x:c r="G641" s="2" t="str">
        <x:v>Московская область</x:v>
      </x:c>
      <x:c r="H641" s="7" t="n">
        <x:f>E641*F641</x:f>
        <x:v>1158355.71</x:v>
      </x:c>
      <x:c r="I641" s="2" t="str">
        <x:f>TEXT(B641,"yyyy-mm")</x:f>
        <x:v>2023-07</x:v>
      </x:c>
      <x:c r="J641" s="8" t="n">
        <x:f>COUNTIFS($H$2:$H$1201,"&gt;"&amp;H641)+COUNTIFS($H$2:H641,H641)</x:f>
        <x:v>42</x:v>
      </x:c>
      <x:c r="K641" s="1"/>
      <x:c r="L641" s="1"/>
    </x:row>
    <x:row r="642" ht="22" customHeight="1">
      <x:c r="A642" s="8" t="n">
        <x:v>970</x:v>
      </x:c>
      <x:c r="B642" s="6" t="n">
        <x:v>45130</x:v>
      </x:c>
      <x:c r="C642" s="2" t="str">
        <x:v>Одежда</x:v>
      </x:c>
      <x:c r="D642" s="2" t="str">
        <x:v>Куртка</x:v>
      </x:c>
      <x:c r="E642" s="7" t="n">
        <x:v>23131.59</x:v>
      </x:c>
      <x:c r="F642" s="9" t="n">
        <x:v>4</x:v>
      </x:c>
      <x:c r="G642" s="2" t="str">
        <x:v>Новосибирск</x:v>
      </x:c>
      <x:c r="H642" s="7" t="n">
        <x:f>E642*F642</x:f>
        <x:v>92526.36</x:v>
      </x:c>
      <x:c r="I642" s="2" t="str">
        <x:f>TEXT(B642,"yyyy-mm")</x:f>
        <x:v>2023-07</x:v>
      </x:c>
      <x:c r="J642" s="8" t="n">
        <x:f>COUNTIFS($H$2:$H$1201,"&gt;"&amp;H642)+COUNTIFS($H$2:H642,H642)</x:f>
        <x:v>984</x:v>
      </x:c>
      <x:c r="K642" s="1"/>
      <x:c r="L642" s="1"/>
    </x:row>
    <x:row r="643" ht="22" customHeight="1">
      <x:c r="A643" s="8" t="n">
        <x:v>1067</x:v>
      </x:c>
      <x:c r="B643" s="6" t="n">
        <x:v>45130</x:v>
      </x:c>
      <x:c r="C643" s="2" t="str">
        <x:v>Одежда</x:v>
      </x:c>
      <x:c r="D643" s="2" t="str">
        <x:v>Футболка</x:v>
      </x:c>
      <x:c r="E643" s="7" t="n">
        <x:v>61266.32</x:v>
      </x:c>
      <x:c r="F643" s="9" t="n">
        <x:v>6</x:v>
      </x:c>
      <x:c r="G643" s="2" t="str">
        <x:v>Казань</x:v>
      </x:c>
      <x:c r="H643" s="7" t="n">
        <x:f>E643*F643</x:f>
        <x:v>367597.92</x:v>
      </x:c>
      <x:c r="I643" s="2" t="str">
        <x:f>TEXT(B643,"yyyy-mm")</x:f>
        <x:v>2023-07</x:v>
      </x:c>
      <x:c r="J643" s="8" t="n">
        <x:f>COUNTIFS($H$2:$H$1201,"&gt;"&amp;H643)+COUNTIFS($H$2:H643,H643)</x:f>
        <x:v>563</x:v>
      </x:c>
      <x:c r="K643" s="1"/>
      <x:c r="L643" s="1"/>
    </x:row>
    <x:row r="644" ht="22" customHeight="1">
      <x:c r="A644" s="8" t="n">
        <x:v>265</x:v>
      </x:c>
      <x:c r="B644" s="6" t="n">
        <x:v>45131</x:v>
      </x:c>
      <x:c r="C644" s="2" t="str">
        <x:v>Одежда</x:v>
      </x:c>
      <x:c r="D644" s="2" t="str">
        <x:v>Джинсы</x:v>
      </x:c>
      <x:c r="E644" s="7" t="n">
        <x:v>84272.71</x:v>
      </x:c>
      <x:c r="F644" s="9" t="n">
        <x:v>7</x:v>
      </x:c>
      <x:c r="G644" s="2" t="str">
        <x:v>Санкт‑Петербург</x:v>
      </x:c>
      <x:c r="H644" s="7" t="n">
        <x:f>E644*F644</x:f>
        <x:v>589908.9700000001</x:v>
      </x:c>
      <x:c r="I644" s="2" t="str">
        <x:f>TEXT(B644,"yyyy-mm")</x:f>
        <x:v>2023-07</x:v>
      </x:c>
      <x:c r="J644" s="8" t="n">
        <x:f>COUNTIFS($H$2:$H$1201,"&gt;"&amp;H644)+COUNTIFS($H$2:H644,H644)</x:f>
        <x:v>326</x:v>
      </x:c>
      <x:c r="K644" s="1"/>
      <x:c r="L644" s="1"/>
    </x:row>
    <x:row r="645" ht="22" customHeight="1">
      <x:c r="A645" s="8" t="n">
        <x:v>309</x:v>
      </x:c>
      <x:c r="B645" s="6" t="n">
        <x:v>45131</x:v>
      </x:c>
      <x:c r="C645" s="2" t="str">
        <x:v>Одежда</x:v>
      </x:c>
      <x:c r="D645" s="2" t="str">
        <x:v>Куртка</x:v>
      </x:c>
      <x:c r="E645" s="7" t="n">
        <x:v>147952.74</x:v>
      </x:c>
      <x:c r="F645" s="9" t="n">
        <x:v>1</x:v>
      </x:c>
      <x:c r="G645" s="2" t="str">
        <x:v>Новосибирск</x:v>
      </x:c>
      <x:c r="H645" s="7" t="n">
        <x:f>E645*F645</x:f>
        <x:v>147952.74</x:v>
      </x:c>
      <x:c r="I645" s="2" t="str">
        <x:f>TEXT(B645,"yyyy-mm")</x:f>
        <x:v>2023-07</x:v>
      </x:c>
      <x:c r="J645" s="8" t="n">
        <x:f>COUNTIFS($H$2:$H$1201,"&gt;"&amp;H645)+COUNTIFS($H$2:H645,H645)</x:f>
        <x:v>854</x:v>
      </x:c>
      <x:c r="K645" s="1"/>
      <x:c r="L645" s="1"/>
    </x:row>
    <x:row r="646" ht="22" customHeight="1">
      <x:c r="A646" s="8" t="n">
        <x:v>977</x:v>
      </x:c>
      <x:c r="B646" s="6" t="n">
        <x:v>45131</x:v>
      </x:c>
      <x:c r="C646" s="2" t="str">
        <x:v>Продукты</x:v>
      </x:c>
      <x:c r="D646" s="2" t="str">
        <x:v>Шоколад</x:v>
      </x:c>
      <x:c r="E646" s="7" t="n">
        <x:v>112730.15</x:v>
      </x:c>
      <x:c r="F646" s="9" t="n">
        <x:v>5</x:v>
      </x:c>
      <x:c r="G646" s="2" t="str">
        <x:v>Москва</x:v>
      </x:c>
      <x:c r="H646" s="7" t="n">
        <x:f>E646*F646</x:f>
        <x:v>563650.75</x:v>
      </x:c>
      <x:c r="I646" s="2" t="str">
        <x:f>TEXT(B646,"yyyy-mm")</x:f>
        <x:v>2023-07</x:v>
      </x:c>
      <x:c r="J646" s="8" t="n">
        <x:f>COUNTIFS($H$2:$H$1201,"&gt;"&amp;H646)+COUNTIFS($H$2:H646,H646)</x:f>
        <x:v>357</x:v>
      </x:c>
      <x:c r="K646" s="1"/>
      <x:c r="L646" s="1"/>
    </x:row>
    <x:row r="647" ht="22" customHeight="1">
      <x:c r="A647" s="8" t="n">
        <x:v>1103</x:v>
      </x:c>
      <x:c r="B647" s="6" t="n">
        <x:v>45131</x:v>
      </x:c>
      <x:c r="C647" s="2" t="str">
        <x:v>Одежда</x:v>
      </x:c>
      <x:c r="D647" s="2" t="str">
        <x:v>Куртка</x:v>
      </x:c>
      <x:c r="E647" s="7" t="n">
        <x:v>131001.74</x:v>
      </x:c>
      <x:c r="F647" s="9" t="n">
        <x:v>4</x:v>
      </x:c>
      <x:c r="G647" s="2" t="str">
        <x:v>Московская область</x:v>
      </x:c>
      <x:c r="H647" s="7" t="n">
        <x:f>E647*F647</x:f>
        <x:v>524006.96</x:v>
      </x:c>
      <x:c r="I647" s="2" t="str">
        <x:f>TEXT(B647,"yyyy-mm")</x:f>
        <x:v>2023-07</x:v>
      </x:c>
      <x:c r="J647" s="8" t="n">
        <x:f>COUNTIFS($H$2:$H$1201,"&gt;"&amp;H647)+COUNTIFS($H$2:H647,H647)</x:f>
        <x:v>391</x:v>
      </x:c>
      <x:c r="K647" s="1"/>
      <x:c r="L647" s="1"/>
    </x:row>
    <x:row r="648" ht="22" customHeight="1">
      <x:c r="A648" s="8" t="n">
        <x:v>442</x:v>
      </x:c>
      <x:c r="B648" s="6" t="n">
        <x:v>45132</x:v>
      </x:c>
      <x:c r="C648" s="2" t="str">
        <x:v>Продукты</x:v>
      </x:c>
      <x:c r="D648" s="2" t="str">
        <x:v>Шоколад</x:v>
      </x:c>
      <x:c r="E648" s="7" t="n">
        <x:v>103751.4</x:v>
      </x:c>
      <x:c r="F648" s="9" t="n">
        <x:v>1</x:v>
      </x:c>
      <x:c r="G648" s="2" t="str">
        <x:v>Новосибирск</x:v>
      </x:c>
      <x:c r="H648" s="7" t="n">
        <x:f>E648*F648</x:f>
        <x:v>103751.4</x:v>
      </x:c>
      <x:c r="I648" s="2" t="str">
        <x:f>TEXT(B648,"yyyy-mm")</x:f>
        <x:v>2023-07</x:v>
      </x:c>
      <x:c r="J648" s="8" t="n">
        <x:f>COUNTIFS($H$2:$H$1201,"&gt;"&amp;H648)+COUNTIFS($H$2:H648,H648)</x:f>
        <x:v>965</x:v>
      </x:c>
      <x:c r="K648" s="1"/>
      <x:c r="L648" s="1"/>
    </x:row>
    <x:row r="649" ht="22" customHeight="1">
      <x:c r="A649" s="8" t="n">
        <x:v>592</x:v>
      </x:c>
      <x:c r="B649" s="6" t="n">
        <x:v>45132</x:v>
      </x:c>
      <x:c r="C649" s="2" t="str">
        <x:v>Товары для дома</x:v>
      </x:c>
      <x:c r="D649" s="2" t="str">
        <x:v>Полотенце</x:v>
      </x:c>
      <x:c r="E649" s="7" t="n">
        <x:v>28503.81</x:v>
      </x:c>
      <x:c r="F649" s="9" t="n">
        <x:v>2</x:v>
      </x:c>
      <x:c r="G649" s="2" t="str">
        <x:v>Екатеринбург</x:v>
      </x:c>
      <x:c r="H649" s="7" t="n">
        <x:f>E649*F649</x:f>
        <x:v>57007.62</x:v>
      </x:c>
      <x:c r="I649" s="2" t="str">
        <x:f>TEXT(B649,"yyyy-mm")</x:f>
        <x:v>2023-07</x:v>
      </x:c>
      <x:c r="J649" s="8" t="n">
        <x:f>COUNTIFS($H$2:$H$1201,"&gt;"&amp;H649)+COUNTIFS($H$2:H649,H649)</x:f>
        <x:v>1070</x:v>
      </x:c>
      <x:c r="K649" s="1"/>
      <x:c r="L649" s="1"/>
    </x:row>
    <x:row r="650" ht="22" customHeight="1">
      <x:c r="A650" s="8" t="n">
        <x:v>938</x:v>
      </x:c>
      <x:c r="B650" s="6" t="n">
        <x:v>45132</x:v>
      </x:c>
      <x:c r="C650" s="2" t="str">
        <x:v>Одежда</x:v>
      </x:c>
      <x:c r="D650" s="2" t="str">
        <x:v>Футболка</x:v>
      </x:c>
      <x:c r="E650" s="7" t="n">
        <x:v>61849.39</x:v>
      </x:c>
      <x:c r="F650" s="9" t="n">
        <x:v>8</x:v>
      </x:c>
      <x:c r="G650" s="2" t="str">
        <x:v>Екатеринбург</x:v>
      </x:c>
      <x:c r="H650" s="7" t="n">
        <x:f>E650*F650</x:f>
        <x:v>494795.12</x:v>
      </x:c>
      <x:c r="I650" s="2" t="str">
        <x:f>TEXT(B650,"yyyy-mm")</x:f>
        <x:v>2023-07</x:v>
      </x:c>
      <x:c r="J650" s="8" t="n">
        <x:f>COUNTIFS($H$2:$H$1201,"&gt;"&amp;H650)+COUNTIFS($H$2:H650,H650)</x:f>
        <x:v>415</x:v>
      </x:c>
      <x:c r="K650" s="1"/>
      <x:c r="L650" s="1"/>
    </x:row>
    <x:row r="651" ht="22" customHeight="1">
      <x:c r="A651" s="8" t="n">
        <x:v>1141</x:v>
      </x:c>
      <x:c r="B651" s="6" t="n">
        <x:v>45132</x:v>
      </x:c>
      <x:c r="C651" s="2" t="str">
        <x:v>Продукты</x:v>
      </x:c>
      <x:c r="D651" s="2" t="str">
        <x:v>Хлеб</x:v>
      </x:c>
      <x:c r="E651" s="7" t="n">
        <x:v>60182.22</x:v>
      </x:c>
      <x:c r="F651" s="9" t="n">
        <x:v>2</x:v>
      </x:c>
      <x:c r="G651" s="2" t="str">
        <x:v>Москва</x:v>
      </x:c>
      <x:c r="H651" s="7" t="n">
        <x:f>E651*F651</x:f>
        <x:v>120364.44</x:v>
      </x:c>
      <x:c r="I651" s="2" t="str">
        <x:f>TEXT(B651,"yyyy-mm")</x:f>
        <x:v>2023-07</x:v>
      </x:c>
      <x:c r="J651" s="8" t="n">
        <x:f>COUNTIFS($H$2:$H$1201,"&gt;"&amp;H651)+COUNTIFS($H$2:H651,H651)</x:f>
        <x:v>924</x:v>
      </x:c>
      <x:c r="K651" s="1"/>
      <x:c r="L651" s="1"/>
    </x:row>
    <x:row r="652" ht="22" customHeight="1">
      <x:c r="A652" s="8" t="n">
        <x:v>115</x:v>
      </x:c>
      <x:c r="B652" s="6" t="n">
        <x:v>45133</x:v>
      </x:c>
      <x:c r="C652" s="2" t="str">
        <x:v>Продукты</x:v>
      </x:c>
      <x:c r="D652" s="2" t="str">
        <x:v>Кофе</x:v>
      </x:c>
      <x:c r="E652" s="7" t="n">
        <x:v>41982.03</x:v>
      </x:c>
      <x:c r="F652" s="9" t="n">
        <x:v>10</x:v>
      </x:c>
      <x:c r="G652" s="2" t="str">
        <x:v>Московская область</x:v>
      </x:c>
      <x:c r="H652" s="7" t="n">
        <x:f>E652*F652</x:f>
        <x:v>419820.3</x:v>
      </x:c>
      <x:c r="I652" s="2" t="str">
        <x:f>TEXT(B652,"yyyy-mm")</x:f>
        <x:v>2023-07</x:v>
      </x:c>
      <x:c r="J652" s="8" t="n">
        <x:f>COUNTIFS($H$2:$H$1201,"&gt;"&amp;H652)+COUNTIFS($H$2:H652,H652)</x:f>
        <x:v>495</x:v>
      </x:c>
      <x:c r="K652" s="1"/>
      <x:c r="L652" s="1"/>
    </x:row>
    <x:row r="653" ht="22" customHeight="1">
      <x:c r="A653" s="8" t="n">
        <x:v>191</x:v>
      </x:c>
      <x:c r="B653" s="6" t="n">
        <x:v>45133</x:v>
      </x:c>
      <x:c r="C653" s="2" t="str">
        <x:v>Электроника</x:v>
      </x:c>
      <x:c r="D653" s="2" t="str">
        <x:v>Планшет</x:v>
      </x:c>
      <x:c r="E653" s="7" t="n">
        <x:v>29816.82</x:v>
      </x:c>
      <x:c r="F653" s="9" t="n">
        <x:v>10</x:v>
      </x:c>
      <x:c r="G653" s="2" t="str">
        <x:v>Санкт‑Петербург</x:v>
      </x:c>
      <x:c r="H653" s="7" t="n">
        <x:f>E653*F653</x:f>
        <x:v>298168.2</x:v>
      </x:c>
      <x:c r="I653" s="2" t="str">
        <x:f>TEXT(B653,"yyyy-mm")</x:f>
        <x:v>2023-07</x:v>
      </x:c>
      <x:c r="J653" s="8" t="n">
        <x:f>COUNTIFS($H$2:$H$1201,"&gt;"&amp;H653)+COUNTIFS($H$2:H653,H653)</x:f>
        <x:v>635</x:v>
      </x:c>
      <x:c r="K653" s="1"/>
      <x:c r="L653" s="1"/>
    </x:row>
    <x:row r="654" ht="22" customHeight="1">
      <x:c r="A654" s="8" t="n">
        <x:v>393</x:v>
      </x:c>
      <x:c r="B654" s="6" t="n">
        <x:v>45133</x:v>
      </x:c>
      <x:c r="C654" s="2" t="str">
        <x:v>Товары для дома</x:v>
      </x:c>
      <x:c r="D654" s="2" t="str">
        <x:v>Полотенце</x:v>
      </x:c>
      <x:c r="E654" s="7" t="n">
        <x:v>36854.11</x:v>
      </x:c>
      <x:c r="F654" s="9" t="n">
        <x:v>6</x:v>
      </x:c>
      <x:c r="G654" s="2" t="str">
        <x:v>Москва</x:v>
      </x:c>
      <x:c r="H654" s="7" t="n">
        <x:f>E654*F654</x:f>
        <x:v>221124.66</x:v>
      </x:c>
      <x:c r="I654" s="2" t="str">
        <x:f>TEXT(B654,"yyyy-mm")</x:f>
        <x:v>2023-07</x:v>
      </x:c>
      <x:c r="J654" s="8" t="n">
        <x:f>COUNTIFS($H$2:$H$1201,"&gt;"&amp;H654)+COUNTIFS($H$2:H654,H654)</x:f>
        <x:v>752</x:v>
      </x:c>
      <x:c r="K654" s="1"/>
      <x:c r="L654" s="1"/>
    </x:row>
    <x:row r="655" ht="22" customHeight="1">
      <x:c r="A655" s="8" t="n">
        <x:v>249</x:v>
      </x:c>
      <x:c r="B655" s="6" t="n">
        <x:v>45134</x:v>
      </x:c>
      <x:c r="C655" s="2" t="str">
        <x:v>Продукты</x:v>
      </x:c>
      <x:c r="D655" s="2" t="str">
        <x:v>Шоколад</x:v>
      </x:c>
      <x:c r="E655" s="7" t="n">
        <x:v>114091.17</x:v>
      </x:c>
      <x:c r="F655" s="9" t="n">
        <x:v>5</x:v>
      </x:c>
      <x:c r="G655" s="2" t="str">
        <x:v>Санкт‑Петербург</x:v>
      </x:c>
      <x:c r="H655" s="7" t="n">
        <x:f>E655*F655</x:f>
        <x:v>570455.85</x:v>
      </x:c>
      <x:c r="I655" s="2" t="str">
        <x:f>TEXT(B655,"yyyy-mm")</x:f>
        <x:v>2023-07</x:v>
      </x:c>
      <x:c r="J655" s="8" t="n">
        <x:f>COUNTIFS($H$2:$H$1201,"&gt;"&amp;H655)+COUNTIFS($H$2:H655,H655)</x:f>
        <x:v>350</x:v>
      </x:c>
      <x:c r="K655" s="1"/>
      <x:c r="L655" s="1"/>
    </x:row>
    <x:row r="656" ht="22" customHeight="1">
      <x:c r="A656" s="8" t="n">
        <x:v>508</x:v>
      </x:c>
      <x:c r="B656" s="6" t="n">
        <x:v>45134</x:v>
      </x:c>
      <x:c r="C656" s="2" t="str">
        <x:v>Продукты</x:v>
      </x:c>
      <x:c r="D656" s="2" t="str">
        <x:v>Молоко</x:v>
      </x:c>
      <x:c r="E656" s="7" t="n">
        <x:v>68754.36</x:v>
      </x:c>
      <x:c r="F656" s="9" t="n">
        <x:v>2</x:v>
      </x:c>
      <x:c r="G656" s="2" t="str">
        <x:v>Московская область</x:v>
      </x:c>
      <x:c r="H656" s="7" t="n">
        <x:f>E656*F656</x:f>
        <x:v>137508.72</x:v>
      </x:c>
      <x:c r="I656" s="2" t="str">
        <x:f>TEXT(B656,"yyyy-mm")</x:f>
        <x:v>2023-07</x:v>
      </x:c>
      <x:c r="J656" s="8" t="n">
        <x:f>COUNTIFS($H$2:$H$1201,"&gt;"&amp;H656)+COUNTIFS($H$2:H656,H656)</x:f>
        <x:v>886</x:v>
      </x:c>
      <x:c r="K656" s="1"/>
      <x:c r="L656" s="1"/>
    </x:row>
    <x:row r="657" ht="22" customHeight="1">
      <x:c r="A657" s="8" t="n">
        <x:v>1043</x:v>
      </x:c>
      <x:c r="B657" s="6" t="n">
        <x:v>45134</x:v>
      </x:c>
      <x:c r="C657" s="2" t="str">
        <x:v>Продукты</x:v>
      </x:c>
      <x:c r="D657" s="2" t="str">
        <x:v>Кофе</x:v>
      </x:c>
      <x:c r="E657" s="7" t="n">
        <x:v>83972.74</x:v>
      </x:c>
      <x:c r="F657" s="9" t="n">
        <x:v>9</x:v>
      </x:c>
      <x:c r="G657" s="2" t="str">
        <x:v>Москва</x:v>
      </x:c>
      <x:c r="H657" s="7" t="n">
        <x:f>E657*F657</x:f>
        <x:v>755754.66</x:v>
      </x:c>
      <x:c r="I657" s="2" t="str">
        <x:f>TEXT(B657,"yyyy-mm")</x:f>
        <x:v>2023-07</x:v>
      </x:c>
      <x:c r="J657" s="8" t="n">
        <x:f>COUNTIFS($H$2:$H$1201,"&gt;"&amp;H657)+COUNTIFS($H$2:H657,H657)</x:f>
        <x:v>223</x:v>
      </x:c>
      <x:c r="K657" s="1"/>
      <x:c r="L657" s="1"/>
    </x:row>
    <x:row r="658" ht="22" customHeight="1">
      <x:c r="A658" s="8" t="n">
        <x:v>1180</x:v>
      </x:c>
      <x:c r="B658" s="6" t="n">
        <x:v>45134</x:v>
      </x:c>
      <x:c r="C658" s="2" t="str">
        <x:v>Товары для дома</x:v>
      </x:c>
      <x:c r="D658" s="2" t="str">
        <x:v>Кружка</x:v>
      </x:c>
      <x:c r="E658" s="7" t="n">
        <x:v>52954.78</x:v>
      </x:c>
      <x:c r="F658" s="9" t="n">
        <x:v>4</x:v>
      </x:c>
      <x:c r="G658" s="2" t="str">
        <x:v>Казань</x:v>
      </x:c>
      <x:c r="H658" s="7" t="n">
        <x:f>E658*F658</x:f>
        <x:v>211819.12</x:v>
      </x:c>
      <x:c r="I658" s="2" t="str">
        <x:f>TEXT(B658,"yyyy-mm")</x:f>
        <x:v>2023-07</x:v>
      </x:c>
      <x:c r="J658" s="8" t="n">
        <x:f>COUNTIFS($H$2:$H$1201,"&gt;"&amp;H658)+COUNTIFS($H$2:H658,H658)</x:f>
        <x:v>774</x:v>
      </x:c>
      <x:c r="K658" s="1"/>
      <x:c r="L658" s="1"/>
    </x:row>
    <x:row r="659" ht="22" customHeight="1">
      <x:c r="A659" s="8" t="n">
        <x:v>158</x:v>
      </x:c>
      <x:c r="B659" s="6" t="n">
        <x:v>45135</x:v>
      </x:c>
      <x:c r="C659" s="2" t="str">
        <x:v>Продукты</x:v>
      </x:c>
      <x:c r="D659" s="2" t="str">
        <x:v>Молоко</x:v>
      </x:c>
      <x:c r="E659" s="7" t="n">
        <x:v>110621.17</x:v>
      </x:c>
      <x:c r="F659" s="9" t="n">
        <x:v>7</x:v>
      </x:c>
      <x:c r="G659" s="2" t="str">
        <x:v>Казань</x:v>
      </x:c>
      <x:c r="H659" s="7" t="n">
        <x:f>E659*F659</x:f>
        <x:v>774348.19</x:v>
      </x:c>
      <x:c r="I659" s="2" t="str">
        <x:f>TEXT(B659,"yyyy-mm")</x:f>
        <x:v>2023-07</x:v>
      </x:c>
      <x:c r="J659" s="8" t="n">
        <x:f>COUNTIFS($H$2:$H$1201,"&gt;"&amp;H659)+COUNTIFS($H$2:H659,H659)</x:f>
        <x:v>210</x:v>
      </x:c>
      <x:c r="K659" s="1"/>
      <x:c r="L659" s="1"/>
    </x:row>
    <x:row r="660" ht="22" customHeight="1">
      <x:c r="A660" s="8" t="n">
        <x:v>477</x:v>
      </x:c>
      <x:c r="B660" s="6" t="n">
        <x:v>45135</x:v>
      </x:c>
      <x:c r="C660" s="2" t="str">
        <x:v>Электроника</x:v>
      </x:c>
      <x:c r="D660" s="2" t="str">
        <x:v>Ноутбук</x:v>
      </x:c>
      <x:c r="E660" s="7" t="n">
        <x:v>73903.37</x:v>
      </x:c>
      <x:c r="F660" s="9" t="n">
        <x:v>7</x:v>
      </x:c>
      <x:c r="G660" s="2" t="str">
        <x:v>Новосибирск</x:v>
      </x:c>
      <x:c r="H660" s="7" t="n">
        <x:f>E660*F660</x:f>
        <x:v>517323.58999999997</x:v>
      </x:c>
      <x:c r="I660" s="2" t="str">
        <x:f>TEXT(B660,"yyyy-mm")</x:f>
        <x:v>2023-07</x:v>
      </x:c>
      <x:c r="J660" s="8" t="n">
        <x:f>COUNTIFS($H$2:$H$1201,"&gt;"&amp;H660)+COUNTIFS($H$2:H660,H660)</x:f>
        <x:v>394</x:v>
      </x:c>
      <x:c r="K660" s="1"/>
      <x:c r="L660" s="1"/>
    </x:row>
    <x:row r="661" ht="22" customHeight="1">
      <x:c r="A661" s="8" t="n">
        <x:v>899</x:v>
      </x:c>
      <x:c r="B661" s="6" t="n">
        <x:v>45135</x:v>
      </x:c>
      <x:c r="C661" s="2" t="str">
        <x:v>Товары для дома</x:v>
      </x:c>
      <x:c r="D661" s="2" t="str">
        <x:v>Полотенце</x:v>
      </x:c>
      <x:c r="E661" s="7" t="n">
        <x:v>71819.98</x:v>
      </x:c>
      <x:c r="F661" s="9" t="n">
        <x:v>8</x:v>
      </x:c>
      <x:c r="G661" s="2" t="str">
        <x:v>Новосибирск</x:v>
      </x:c>
      <x:c r="H661" s="7" t="n">
        <x:f>E661*F661</x:f>
        <x:v>574559.84</x:v>
      </x:c>
      <x:c r="I661" s="2" t="str">
        <x:f>TEXT(B661,"yyyy-mm")</x:f>
        <x:v>2023-07</x:v>
      </x:c>
      <x:c r="J661" s="8" t="n">
        <x:f>COUNTIFS($H$2:$H$1201,"&gt;"&amp;H661)+COUNTIFS($H$2:H661,H661)</x:f>
        <x:v>340</x:v>
      </x:c>
      <x:c r="K661" s="1"/>
      <x:c r="L661" s="1"/>
    </x:row>
    <x:row r="662" ht="22" customHeight="1">
      <x:c r="A662" s="8" t="n">
        <x:v>927</x:v>
      </x:c>
      <x:c r="B662" s="6" t="n">
        <x:v>45135</x:v>
      </x:c>
      <x:c r="C662" s="2" t="str">
        <x:v>Товары для дома</x:v>
      </x:c>
      <x:c r="D662" s="2" t="str">
        <x:v>Подушка</x:v>
      </x:c>
      <x:c r="E662" s="7" t="n">
        <x:v>62799.69</x:v>
      </x:c>
      <x:c r="F662" s="9" t="n">
        <x:v>6</x:v>
      </x:c>
      <x:c r="G662" s="2" t="str">
        <x:v>Новосибирск</x:v>
      </x:c>
      <x:c r="H662" s="7" t="n">
        <x:f>E662*F662</x:f>
        <x:v>376798.14</x:v>
      </x:c>
      <x:c r="I662" s="2" t="str">
        <x:f>TEXT(B662,"yyyy-mm")</x:f>
        <x:v>2023-07</x:v>
      </x:c>
      <x:c r="J662" s="8" t="n">
        <x:f>COUNTIFS($H$2:$H$1201,"&gt;"&amp;H662)+COUNTIFS($H$2:H662,H662)</x:f>
        <x:v>553</x:v>
      </x:c>
      <x:c r="K662" s="1"/>
      <x:c r="L662" s="1"/>
    </x:row>
    <x:row r="663" ht="22" customHeight="1">
      <x:c r="A663" s="8" t="n">
        <x:v>1104</x:v>
      </x:c>
      <x:c r="B663" s="6" t="n">
        <x:v>45135</x:v>
      </x:c>
      <x:c r="C663" s="2" t="str">
        <x:v>Электроника</x:v>
      </x:c>
      <x:c r="D663" s="2" t="str">
        <x:v>Наушники</x:v>
      </x:c>
      <x:c r="E663" s="7" t="n">
        <x:v>21649.27</x:v>
      </x:c>
      <x:c r="F663" s="9" t="n">
        <x:v>3</x:v>
      </x:c>
      <x:c r="G663" s="2" t="str">
        <x:v>Екатеринбург</x:v>
      </x:c>
      <x:c r="H663" s="7" t="n">
        <x:f>E663*F663</x:f>
        <x:v>64947.81</x:v>
      </x:c>
      <x:c r="I663" s="2" t="str">
        <x:f>TEXT(B663,"yyyy-mm")</x:f>
        <x:v>2023-07</x:v>
      </x:c>
      <x:c r="J663" s="8" t="n">
        <x:f>COUNTIFS($H$2:$H$1201,"&gt;"&amp;H663)+COUNTIFS($H$2:H663,H663)</x:f>
        <x:v>1045</x:v>
      </x:c>
      <x:c r="K663" s="1"/>
      <x:c r="L663" s="1"/>
    </x:row>
    <x:row r="664" ht="22" customHeight="1">
      <x:c r="A664" s="8" t="n">
        <x:v>170</x:v>
      </x:c>
      <x:c r="B664" s="6" t="n">
        <x:v>45136</x:v>
      </x:c>
      <x:c r="C664" s="2" t="str">
        <x:v>Продукты</x:v>
      </x:c>
      <x:c r="D664" s="2" t="str">
        <x:v>Молоко</x:v>
      </x:c>
      <x:c r="E664" s="7" t="n">
        <x:v>7795.96</x:v>
      </x:c>
      <x:c r="F664" s="9" t="n">
        <x:v>4</x:v>
      </x:c>
      <x:c r="G664" s="2" t="str">
        <x:v>Московская область</x:v>
      </x:c>
      <x:c r="H664" s="7" t="n">
        <x:f>E664*F664</x:f>
        <x:v>31183.84</x:v>
      </x:c>
      <x:c r="I664" s="2" t="str">
        <x:f>TEXT(B664,"yyyy-mm")</x:f>
        <x:v>2023-07</x:v>
      </x:c>
      <x:c r="J664" s="8" t="n">
        <x:f>COUNTIFS($H$2:$H$1201,"&gt;"&amp;H664)+COUNTIFS($H$2:H664,H664)</x:f>
        <x:v>1124</x:v>
      </x:c>
      <x:c r="K664" s="1"/>
      <x:c r="L664" s="1"/>
    </x:row>
    <x:row r="665" ht="22" customHeight="1">
      <x:c r="A665" s="8" t="n">
        <x:v>943</x:v>
      </x:c>
      <x:c r="B665" s="6" t="n">
        <x:v>45136</x:v>
      </x:c>
      <x:c r="C665" s="2" t="str">
        <x:v>Продукты</x:v>
      </x:c>
      <x:c r="D665" s="2" t="str">
        <x:v>Молоко</x:v>
      </x:c>
      <x:c r="E665" s="7" t="n">
        <x:v>16067.1</x:v>
      </x:c>
      <x:c r="F665" s="9" t="n">
        <x:v>5</x:v>
      </x:c>
      <x:c r="G665" s="2" t="str">
        <x:v>Московская область</x:v>
      </x:c>
      <x:c r="H665" s="7" t="n">
        <x:f>E665*F665</x:f>
        <x:v>80335.5</x:v>
      </x:c>
      <x:c r="I665" s="2" t="str">
        <x:f>TEXT(B665,"yyyy-mm")</x:f>
        <x:v>2023-07</x:v>
      </x:c>
      <x:c r="J665" s="8" t="n">
        <x:f>COUNTIFS($H$2:$H$1201,"&gt;"&amp;H665)+COUNTIFS($H$2:H665,H665)</x:f>
        <x:v>1014</x:v>
      </x:c>
      <x:c r="K665" s="1"/>
      <x:c r="L665" s="1"/>
    </x:row>
    <x:row r="666" ht="22" customHeight="1">
      <x:c r="A666" s="8" t="n">
        <x:v>957</x:v>
      </x:c>
      <x:c r="B666" s="6" t="n">
        <x:v>45136</x:v>
      </x:c>
      <x:c r="C666" s="2" t="str">
        <x:v>Электроника</x:v>
      </x:c>
      <x:c r="D666" s="2" t="str">
        <x:v>Планшет</x:v>
      </x:c>
      <x:c r="E666" s="7" t="n">
        <x:v>27519.52</x:v>
      </x:c>
      <x:c r="F666" s="9" t="n">
        <x:v>8</x:v>
      </x:c>
      <x:c r="G666" s="2" t="str">
        <x:v>Екатеринбург</x:v>
      </x:c>
      <x:c r="H666" s="7" t="n">
        <x:f>E666*F666</x:f>
        <x:v>220156.16</x:v>
      </x:c>
      <x:c r="I666" s="2" t="str">
        <x:f>TEXT(B666,"yyyy-mm")</x:f>
        <x:v>2023-07</x:v>
      </x:c>
      <x:c r="J666" s="8" t="n">
        <x:f>COUNTIFS($H$2:$H$1201,"&gt;"&amp;H666)+COUNTIFS($H$2:H666,H666)</x:f>
        <x:v>756</x:v>
      </x:c>
      <x:c r="K666" s="1"/>
      <x:c r="L666" s="1"/>
    </x:row>
    <x:row r="667" ht="22" customHeight="1">
      <x:c r="A667" s="8" t="n">
        <x:v>1069</x:v>
      </x:c>
      <x:c r="B667" s="6" t="n">
        <x:v>45136</x:v>
      </x:c>
      <x:c r="C667" s="2" t="str">
        <x:v>Одежда</x:v>
      </x:c>
      <x:c r="D667" s="2" t="str">
        <x:v>Куртка</x:v>
      </x:c>
      <x:c r="E667" s="7" t="n">
        <x:v>85043.19</x:v>
      </x:c>
      <x:c r="F667" s="9" t="n">
        <x:v>8</x:v>
      </x:c>
      <x:c r="G667" s="2" t="str">
        <x:v>Казань</x:v>
      </x:c>
      <x:c r="H667" s="7" t="n">
        <x:f>E667*F667</x:f>
        <x:v>680345.52</x:v>
      </x:c>
      <x:c r="I667" s="2" t="str">
        <x:f>TEXT(B667,"yyyy-mm")</x:f>
        <x:v>2023-07</x:v>
      </x:c>
      <x:c r="J667" s="8" t="n">
        <x:f>COUNTIFS($H$2:$H$1201,"&gt;"&amp;H667)+COUNTIFS($H$2:H667,H667)</x:f>
        <x:v>278</x:v>
      </x:c>
      <x:c r="K667" s="1"/>
      <x:c r="L667" s="1"/>
    </x:row>
    <x:row r="668" ht="22" customHeight="1">
      <x:c r="A668" s="8" t="n">
        <x:v>841</x:v>
      </x:c>
      <x:c r="B668" s="6" t="n">
        <x:v>45137</x:v>
      </x:c>
      <x:c r="C668" s="2" t="str">
        <x:v>Одежда</x:v>
      </x:c>
      <x:c r="D668" s="2" t="str">
        <x:v>Джинсы</x:v>
      </x:c>
      <x:c r="E668" s="7" t="n">
        <x:v>16012.27</x:v>
      </x:c>
      <x:c r="F668" s="9" t="n">
        <x:v>3</x:v>
      </x:c>
      <x:c r="G668" s="2" t="str">
        <x:v>Екатеринбург</x:v>
      </x:c>
      <x:c r="H668" s="7" t="n">
        <x:f>E668*F668</x:f>
        <x:v>48036.81</x:v>
      </x:c>
      <x:c r="I668" s="2" t="str">
        <x:f>TEXT(B668,"yyyy-mm")</x:f>
        <x:v>2023-07</x:v>
      </x:c>
      <x:c r="J668" s="8" t="n">
        <x:f>COUNTIFS($H$2:$H$1201,"&gt;"&amp;H668)+COUNTIFS($H$2:H668,H668)</x:f>
        <x:v>1090</x:v>
      </x:c>
      <x:c r="K668" s="1"/>
      <x:c r="L668" s="1"/>
    </x:row>
    <x:row r="669" ht="22" customHeight="1">
      <x:c r="A669" s="8" t="n">
        <x:v>279</x:v>
      </x:c>
      <x:c r="B669" s="6" t="n">
        <x:v>45138</x:v>
      </x:c>
      <x:c r="C669" s="2" t="str">
        <x:v>Одежда</x:v>
      </x:c>
      <x:c r="D669" s="2" t="str">
        <x:v>Куртка</x:v>
      </x:c>
      <x:c r="E669" s="7" t="n">
        <x:v>119331</x:v>
      </x:c>
      <x:c r="F669" s="9" t="n">
        <x:v>7</x:v>
      </x:c>
      <x:c r="G669" s="2" t="str">
        <x:v>Новосибирск</x:v>
      </x:c>
      <x:c r="H669" s="7" t="n">
        <x:f>E669*F669</x:f>
        <x:v>835317</x:v>
      </x:c>
      <x:c r="I669" s="2" t="str">
        <x:f>TEXT(B669,"yyyy-mm")</x:f>
        <x:v>2023-07</x:v>
      </x:c>
      <x:c r="J669" s="8" t="n">
        <x:f>COUNTIFS($H$2:$H$1201,"&gt;"&amp;H669)+COUNTIFS($H$2:H669,H669)</x:f>
        <x:v>174</x:v>
      </x:c>
      <x:c r="K669" s="1"/>
      <x:c r="L669" s="1"/>
    </x:row>
    <x:row r="670" ht="22" customHeight="1">
      <x:c r="A670" s="8" t="n">
        <x:v>480</x:v>
      </x:c>
      <x:c r="B670" s="6" t="n">
        <x:v>45138</x:v>
      </x:c>
      <x:c r="C670" s="2" t="str">
        <x:v>Продукты</x:v>
      </x:c>
      <x:c r="D670" s="2" t="str">
        <x:v>Молоко</x:v>
      </x:c>
      <x:c r="E670" s="7" t="n">
        <x:v>88858.27</x:v>
      </x:c>
      <x:c r="F670" s="9" t="n">
        <x:v>8</x:v>
      </x:c>
      <x:c r="G670" s="2" t="str">
        <x:v>Москва</x:v>
      </x:c>
      <x:c r="H670" s="7" t="n">
        <x:f>E670*F670</x:f>
        <x:v>710866.16</x:v>
      </x:c>
      <x:c r="I670" s="2" t="str">
        <x:f>TEXT(B670,"yyyy-mm")</x:f>
        <x:v>2023-07</x:v>
      </x:c>
      <x:c r="J670" s="8" t="n">
        <x:f>COUNTIFS($H$2:$H$1201,"&gt;"&amp;H670)+COUNTIFS($H$2:H670,H670)</x:f>
        <x:v>259</x:v>
      </x:c>
      <x:c r="K670" s="1"/>
      <x:c r="L670" s="1"/>
    </x:row>
    <x:row r="671" ht="22" customHeight="1">
      <x:c r="A671" s="8" t="n">
        <x:v>110</x:v>
      </x:c>
      <x:c r="B671" s="6" t="n">
        <x:v>45139</x:v>
      </x:c>
      <x:c r="C671" s="2" t="str">
        <x:v>Электроника</x:v>
      </x:c>
      <x:c r="D671" s="2" t="str">
        <x:v>Смартфон</x:v>
      </x:c>
      <x:c r="E671" s="7" t="n">
        <x:v>147425.43</x:v>
      </x:c>
      <x:c r="F671" s="9" t="n">
        <x:v>5</x:v>
      </x:c>
      <x:c r="G671" s="2" t="str">
        <x:v>Казань</x:v>
      </x:c>
      <x:c r="H671" s="7" t="n">
        <x:f>E671*F671</x:f>
        <x:v>737127.1499999999</x:v>
      </x:c>
      <x:c r="I671" s="2" t="str">
        <x:f>TEXT(B671,"yyyy-mm")</x:f>
        <x:v>2023-08</x:v>
      </x:c>
      <x:c r="J671" s="8" t="n">
        <x:f>COUNTIFS($H$2:$H$1201,"&gt;"&amp;H671)+COUNTIFS($H$2:H671,H671)</x:f>
        <x:v>233</x:v>
      </x:c>
      <x:c r="K671" s="1"/>
      <x:c r="L671" s="1"/>
    </x:row>
    <x:row r="672" ht="22" customHeight="1">
      <x:c r="A672" s="8" t="n">
        <x:v>688</x:v>
      </x:c>
      <x:c r="B672" s="6" t="n">
        <x:v>45139</x:v>
      </x:c>
      <x:c r="C672" s="2" t="str">
        <x:v>Одежда</x:v>
      </x:c>
      <x:c r="D672" s="2" t="str">
        <x:v>Футболка</x:v>
      </x:c>
      <x:c r="E672" s="7" t="n">
        <x:v>13480.35</x:v>
      </x:c>
      <x:c r="F672" s="9" t="n">
        <x:v>5</x:v>
      </x:c>
      <x:c r="G672" s="2" t="str">
        <x:v>Новосибирск</x:v>
      </x:c>
      <x:c r="H672" s="7" t="n">
        <x:f>E672*F672</x:f>
        <x:v>67401.75</x:v>
      </x:c>
      <x:c r="I672" s="2" t="str">
        <x:f>TEXT(B672,"yyyy-mm")</x:f>
        <x:v>2023-08</x:v>
      </x:c>
      <x:c r="J672" s="8" t="n">
        <x:f>COUNTIFS($H$2:$H$1201,"&gt;"&amp;H672)+COUNTIFS($H$2:H672,H672)</x:f>
        <x:v>1040</x:v>
      </x:c>
      <x:c r="K672" s="1"/>
      <x:c r="L672" s="1"/>
    </x:row>
    <x:row r="673" ht="22" customHeight="1">
      <x:c r="A673" s="8" t="n">
        <x:v>917</x:v>
      </x:c>
      <x:c r="B673" s="6" t="n">
        <x:v>45139</x:v>
      </x:c>
      <x:c r="C673" s="2" t="str">
        <x:v>Одежда</x:v>
      </x:c>
      <x:c r="D673" s="2" t="str">
        <x:v>Кроссовки</x:v>
      </x:c>
      <x:c r="E673" s="7" t="n">
        <x:v>27851.02</x:v>
      </x:c>
      <x:c r="F673" s="9" t="n">
        <x:v>3</x:v>
      </x:c>
      <x:c r="G673" s="2" t="str">
        <x:v>Казань</x:v>
      </x:c>
      <x:c r="H673" s="7" t="n">
        <x:f>E673*F673</x:f>
        <x:v>83553.06</x:v>
      </x:c>
      <x:c r="I673" s="2" t="str">
        <x:f>TEXT(B673,"yyyy-mm")</x:f>
        <x:v>2023-08</x:v>
      </x:c>
      <x:c r="J673" s="8" t="n">
        <x:f>COUNTIFS($H$2:$H$1201,"&gt;"&amp;H673)+COUNTIFS($H$2:H673,H673)</x:f>
        <x:v>1006</x:v>
      </x:c>
      <x:c r="K673" s="1"/>
      <x:c r="L673" s="1"/>
    </x:row>
    <x:row r="674" ht="22" customHeight="1">
      <x:c r="A674" s="8" t="n">
        <x:v>352</x:v>
      </x:c>
      <x:c r="B674" s="6" t="n">
        <x:v>45140</x:v>
      </x:c>
      <x:c r="C674" s="2" t="str">
        <x:v>Продукты</x:v>
      </x:c>
      <x:c r="D674" s="2" t="str">
        <x:v>Кофе</x:v>
      </x:c>
      <x:c r="E674" s="7" t="n">
        <x:v>128693.33</x:v>
      </x:c>
      <x:c r="F674" s="9" t="n">
        <x:v>10</x:v>
      </x:c>
      <x:c r="G674" s="2" t="str">
        <x:v>Казань</x:v>
      </x:c>
      <x:c r="H674" s="7" t="n">
        <x:f>E674*F674</x:f>
        <x:v>1286933.3</x:v>
      </x:c>
      <x:c r="I674" s="2" t="str">
        <x:f>TEXT(B674,"yyyy-mm")</x:f>
        <x:v>2023-08</x:v>
      </x:c>
      <x:c r="J674" s="8" t="n">
        <x:f>COUNTIFS($H$2:$H$1201,"&gt;"&amp;H674)+COUNTIFS($H$2:H674,H674)</x:f>
        <x:v>19</x:v>
      </x:c>
      <x:c r="K674" s="1"/>
      <x:c r="L674" s="1"/>
    </x:row>
    <x:row r="675" ht="22" customHeight="1">
      <x:c r="A675" s="8" t="n">
        <x:v>481</x:v>
      </x:c>
      <x:c r="B675" s="6" t="n">
        <x:v>45140</x:v>
      </x:c>
      <x:c r="C675" s="2" t="str">
        <x:v>Товары для дома</x:v>
      </x:c>
      <x:c r="D675" s="2" t="str">
        <x:v>Кружка</x:v>
      </x:c>
      <x:c r="E675" s="7" t="n">
        <x:v>30627</x:v>
      </x:c>
      <x:c r="F675" s="9" t="n">
        <x:v>4</x:v>
      </x:c>
      <x:c r="G675" s="2" t="str">
        <x:v>Екатеринбург</x:v>
      </x:c>
      <x:c r="H675" s="7" t="n">
        <x:f>E675*F675</x:f>
        <x:v>122508</x:v>
      </x:c>
      <x:c r="I675" s="2" t="str">
        <x:f>TEXT(B675,"yyyy-mm")</x:f>
        <x:v>2023-08</x:v>
      </x:c>
      <x:c r="J675" s="8" t="n">
        <x:f>COUNTIFS($H$2:$H$1201,"&gt;"&amp;H675)+COUNTIFS($H$2:H675,H675)</x:f>
        <x:v>922</x:v>
      </x:c>
      <x:c r="K675" s="1"/>
      <x:c r="L675" s="1"/>
    </x:row>
    <x:row r="676" ht="22" customHeight="1">
      <x:c r="A676" s="8" t="n">
        <x:v>643</x:v>
      </x:c>
      <x:c r="B676" s="6" t="n">
        <x:v>45140</x:v>
      </x:c>
      <x:c r="C676" s="2" t="str">
        <x:v>Одежда</x:v>
      </x:c>
      <x:c r="D676" s="2" t="str">
        <x:v>Футболка</x:v>
      </x:c>
      <x:c r="E676" s="7" t="n">
        <x:v>5693.01</x:v>
      </x:c>
      <x:c r="F676" s="9" t="n">
        <x:v>7</x:v>
      </x:c>
      <x:c r="G676" s="2" t="str">
        <x:v>Новосибирск</x:v>
      </x:c>
      <x:c r="H676" s="7" t="n">
        <x:f>E676*F676</x:f>
        <x:v>39851.07</x:v>
      </x:c>
      <x:c r="I676" s="2" t="str">
        <x:f>TEXT(B676,"yyyy-mm")</x:f>
        <x:v>2023-08</x:v>
      </x:c>
      <x:c r="J676" s="8" t="n">
        <x:f>COUNTIFS($H$2:$H$1201,"&gt;"&amp;H676)+COUNTIFS($H$2:H676,H676)</x:f>
        <x:v>1105</x:v>
      </x:c>
      <x:c r="K676" s="1"/>
      <x:c r="L676" s="1"/>
    </x:row>
    <x:row r="677" ht="22" customHeight="1">
      <x:c r="A677" s="8" t="n">
        <x:v>730</x:v>
      </x:c>
      <x:c r="B677" s="6" t="n">
        <x:v>45140</x:v>
      </x:c>
      <x:c r="C677" s="2" t="str">
        <x:v>Одежда</x:v>
      </x:c>
      <x:c r="D677" s="2" t="str">
        <x:v>Куртка</x:v>
      </x:c>
      <x:c r="E677" s="7" t="n">
        <x:v>54798.63</x:v>
      </x:c>
      <x:c r="F677" s="9" t="n">
        <x:v>4</x:v>
      </x:c>
      <x:c r="G677" s="2" t="str">
        <x:v>Москва</x:v>
      </x:c>
      <x:c r="H677" s="7" t="n">
        <x:f>E677*F677</x:f>
        <x:v>219194.52</x:v>
      </x:c>
      <x:c r="I677" s="2" t="str">
        <x:f>TEXT(B677,"yyyy-mm")</x:f>
        <x:v>2023-08</x:v>
      </x:c>
      <x:c r="J677" s="8" t="n">
        <x:f>COUNTIFS($H$2:$H$1201,"&gt;"&amp;H677)+COUNTIFS($H$2:H677,H677)</x:f>
        <x:v>759</x:v>
      </x:c>
      <x:c r="K677" s="1"/>
      <x:c r="L677" s="1"/>
    </x:row>
    <x:row r="678" ht="22" customHeight="1">
      <x:c r="A678" s="8" t="n">
        <x:v>949</x:v>
      </x:c>
      <x:c r="B678" s="6" t="n">
        <x:v>45140</x:v>
      </x:c>
      <x:c r="C678" s="2" t="str">
        <x:v>Продукты</x:v>
      </x:c>
      <x:c r="D678" s="2" t="str">
        <x:v>Кофе</x:v>
      </x:c>
      <x:c r="E678" s="7" t="n">
        <x:v>137751.35</x:v>
      </x:c>
      <x:c r="F678" s="9" t="n">
        <x:v>2</x:v>
      </x:c>
      <x:c r="G678" s="2" t="str">
        <x:v>Новосибирск</x:v>
      </x:c>
      <x:c r="H678" s="7" t="n">
        <x:f>E678*F678</x:f>
        <x:v>275502.7</x:v>
      </x:c>
      <x:c r="I678" s="2" t="str">
        <x:f>TEXT(B678,"yyyy-mm")</x:f>
        <x:v>2023-08</x:v>
      </x:c>
      <x:c r="J678" s="8" t="n">
        <x:f>COUNTIFS($H$2:$H$1201,"&gt;"&amp;H678)+COUNTIFS($H$2:H678,H678)</x:f>
        <x:v>662</x:v>
      </x:c>
      <x:c r="K678" s="1"/>
      <x:c r="L678" s="1"/>
    </x:row>
    <x:row r="679" ht="22" customHeight="1">
      <x:c r="A679" s="8" t="n">
        <x:v>695</x:v>
      </x:c>
      <x:c r="B679" s="6" t="n">
        <x:v>45141</x:v>
      </x:c>
      <x:c r="C679" s="2" t="str">
        <x:v>Одежда</x:v>
      </x:c>
      <x:c r="D679" s="2" t="str">
        <x:v>Футболка</x:v>
      </x:c>
      <x:c r="E679" s="7" t="n">
        <x:v>28936.61</x:v>
      </x:c>
      <x:c r="F679" s="9" t="n">
        <x:v>4</x:v>
      </x:c>
      <x:c r="G679" s="2" t="str">
        <x:v>Санкт‑Петербург</x:v>
      </x:c>
      <x:c r="H679" s="7" t="n">
        <x:f>E679*F679</x:f>
        <x:v>115746.44</x:v>
      </x:c>
      <x:c r="I679" s="2" t="str">
        <x:f>TEXT(B679,"yyyy-mm")</x:f>
        <x:v>2023-08</x:v>
      </x:c>
      <x:c r="J679" s="8" t="n">
        <x:f>COUNTIFS($H$2:$H$1201,"&gt;"&amp;H679)+COUNTIFS($H$2:H679,H679)</x:f>
        <x:v>938</x:v>
      </x:c>
      <x:c r="K679" s="1"/>
      <x:c r="L679" s="1"/>
    </x:row>
    <x:row r="680" ht="22" customHeight="1">
      <x:c r="A680" s="8" t="n">
        <x:v>668</x:v>
      </x:c>
      <x:c r="B680" s="6" t="n">
        <x:v>45142</x:v>
      </x:c>
      <x:c r="C680" s="2" t="str">
        <x:v>Товары для дома</x:v>
      </x:c>
      <x:c r="D680" s="2" t="str">
        <x:v>Кружка</x:v>
      </x:c>
      <x:c r="E680" s="7" t="n">
        <x:v>132962.48</x:v>
      </x:c>
      <x:c r="F680" s="9" t="n">
        <x:v>1</x:v>
      </x:c>
      <x:c r="G680" s="2" t="str">
        <x:v>Казань</x:v>
      </x:c>
      <x:c r="H680" s="7" t="n">
        <x:f>E680*F680</x:f>
        <x:v>132962.48</x:v>
      </x:c>
      <x:c r="I680" s="2" t="str">
        <x:f>TEXT(B680,"yyyy-mm")</x:f>
        <x:v>2023-08</x:v>
      </x:c>
      <x:c r="J680" s="8" t="n">
        <x:f>COUNTIFS($H$2:$H$1201,"&gt;"&amp;H680)+COUNTIFS($H$2:H680,H680)</x:f>
        <x:v>897</x:v>
      </x:c>
      <x:c r="K680" s="1"/>
      <x:c r="L680" s="1"/>
    </x:row>
    <x:row r="681" ht="22" customHeight="1">
      <x:c r="A681" s="8" t="n">
        <x:v>868</x:v>
      </x:c>
      <x:c r="B681" s="6" t="n">
        <x:v>45142</x:v>
      </x:c>
      <x:c r="C681" s="2" t="str">
        <x:v>Товары для дома</x:v>
      </x:c>
      <x:c r="D681" s="2" t="str">
        <x:v>Подушка</x:v>
      </x:c>
      <x:c r="E681" s="7" t="n">
        <x:v>45334.84</x:v>
      </x:c>
      <x:c r="F681" s="9" t="n">
        <x:v>8</x:v>
      </x:c>
      <x:c r="G681" s="2" t="str">
        <x:v>Новосибирск</x:v>
      </x:c>
      <x:c r="H681" s="7" t="n">
        <x:f>E681*F681</x:f>
        <x:v>362678.72</x:v>
      </x:c>
      <x:c r="I681" s="2" t="str">
        <x:f>TEXT(B681,"yyyy-mm")</x:f>
        <x:v>2023-08</x:v>
      </x:c>
      <x:c r="J681" s="8" t="n">
        <x:f>COUNTIFS($H$2:$H$1201,"&gt;"&amp;H681)+COUNTIFS($H$2:H681,H681)</x:f>
        <x:v>570</x:v>
      </x:c>
      <x:c r="K681" s="1"/>
      <x:c r="L681" s="1"/>
    </x:row>
    <x:row r="682" ht="22" customHeight="1">
      <x:c r="A682" s="8" t="n">
        <x:v>216</x:v>
      </x:c>
      <x:c r="B682" s="6" t="n">
        <x:v>45143</x:v>
      </x:c>
      <x:c r="C682" s="2" t="str">
        <x:v>Электроника</x:v>
      </x:c>
      <x:c r="D682" s="2" t="str">
        <x:v>Планшет</x:v>
      </x:c>
      <x:c r="E682" s="7" t="n">
        <x:v>80273.37</x:v>
      </x:c>
      <x:c r="F682" s="9" t="n">
        <x:v>3</x:v>
      </x:c>
      <x:c r="G682" s="2" t="str">
        <x:v>Санкт‑Петербург</x:v>
      </x:c>
      <x:c r="H682" s="7" t="n">
        <x:f>E682*F682</x:f>
        <x:v>240820.11</x:v>
      </x:c>
      <x:c r="I682" s="2" t="str">
        <x:f>TEXT(B682,"yyyy-mm")</x:f>
        <x:v>2023-08</x:v>
      </x:c>
      <x:c r="J682" s="8" t="n">
        <x:f>COUNTIFS($H$2:$H$1201,"&gt;"&amp;H682)+COUNTIFS($H$2:H682,H682)</x:f>
        <x:v>720</x:v>
      </x:c>
      <x:c r="K682" s="1"/>
      <x:c r="L682" s="1"/>
    </x:row>
    <x:row r="683" ht="22" customHeight="1">
      <x:c r="A683" s="8" t="n">
        <x:v>536</x:v>
      </x:c>
      <x:c r="B683" s="6" t="n">
        <x:v>45143</x:v>
      </x:c>
      <x:c r="C683" s="2" t="str">
        <x:v>Одежда</x:v>
      </x:c>
      <x:c r="D683" s="2" t="str">
        <x:v>Куртка</x:v>
      </x:c>
      <x:c r="E683" s="7" t="n">
        <x:v>48285.78</x:v>
      </x:c>
      <x:c r="F683" s="9" t="n">
        <x:v>8</x:v>
      </x:c>
      <x:c r="G683" s="2" t="str">
        <x:v>Казань</x:v>
      </x:c>
      <x:c r="H683" s="7" t="n">
        <x:f>E683*F683</x:f>
        <x:v>386286.24</x:v>
      </x:c>
      <x:c r="I683" s="2" t="str">
        <x:f>TEXT(B683,"yyyy-mm")</x:f>
        <x:v>2023-08</x:v>
      </x:c>
      <x:c r="J683" s="8" t="n">
        <x:f>COUNTIFS($H$2:$H$1201,"&gt;"&amp;H683)+COUNTIFS($H$2:H683,H683)</x:f>
        <x:v>542</x:v>
      </x:c>
      <x:c r="K683" s="1"/>
      <x:c r="L683" s="1"/>
    </x:row>
    <x:row r="684" ht="22" customHeight="1">
      <x:c r="A684" s="8" t="n">
        <x:v>1145</x:v>
      </x:c>
      <x:c r="B684" s="6" t="n">
        <x:v>45143</x:v>
      </x:c>
      <x:c r="C684" s="2" t="str">
        <x:v>Продукты</x:v>
      </x:c>
      <x:c r="D684" s="2" t="str">
        <x:v>Шоколад</x:v>
      </x:c>
      <x:c r="E684" s="7" t="n">
        <x:v>116785.56</x:v>
      </x:c>
      <x:c r="F684" s="9" t="n">
        <x:v>4</x:v>
      </x:c>
      <x:c r="G684" s="2" t="str">
        <x:v>Московская область</x:v>
      </x:c>
      <x:c r="H684" s="7" t="n">
        <x:f>E684*F684</x:f>
        <x:v>467142.24</x:v>
      </x:c>
      <x:c r="I684" s="2" t="str">
        <x:f>TEXT(B684,"yyyy-mm")</x:f>
        <x:v>2023-08</x:v>
      </x:c>
      <x:c r="J684" s="8" t="n">
        <x:f>COUNTIFS($H$2:$H$1201,"&gt;"&amp;H684)+COUNTIFS($H$2:H684,H684)</x:f>
        <x:v>437</x:v>
      </x:c>
      <x:c r="K684" s="1"/>
      <x:c r="L684" s="1"/>
    </x:row>
    <x:row r="685" ht="22" customHeight="1">
      <x:c r="A685" s="8" t="n">
        <x:v>294</x:v>
      </x:c>
      <x:c r="B685" s="6" t="n">
        <x:v>45144</x:v>
      </x:c>
      <x:c r="C685" s="2" t="str">
        <x:v>Электроника</x:v>
      </x:c>
      <x:c r="D685" s="2" t="str">
        <x:v>Ноутбук</x:v>
      </x:c>
      <x:c r="E685" s="7" t="n">
        <x:v>145709.4</x:v>
      </x:c>
      <x:c r="F685" s="9" t="n">
        <x:v>6</x:v>
      </x:c>
      <x:c r="G685" s="2" t="str">
        <x:v>Новосибирск</x:v>
      </x:c>
      <x:c r="H685" s="7" t="n">
        <x:f>E685*F685</x:f>
        <x:v>874256.3999999999</x:v>
      </x:c>
      <x:c r="I685" s="2" t="str">
        <x:f>TEXT(B685,"yyyy-mm")</x:f>
        <x:v>2023-08</x:v>
      </x:c>
      <x:c r="J685" s="8" t="n">
        <x:f>COUNTIFS($H$2:$H$1201,"&gt;"&amp;H685)+COUNTIFS($H$2:H685,H685)</x:f>
        <x:v>146</x:v>
      </x:c>
      <x:c r="K685" s="1"/>
      <x:c r="L685" s="1"/>
    </x:row>
    <x:row r="686" ht="22" customHeight="1">
      <x:c r="A686" s="8" t="n">
        <x:v>351</x:v>
      </x:c>
      <x:c r="B686" s="6" t="n">
        <x:v>45144</x:v>
      </x:c>
      <x:c r="C686" s="2" t="str">
        <x:v>Товары для дома</x:v>
      </x:c>
      <x:c r="D686" s="2" t="str">
        <x:v>Кружка</x:v>
      </x:c>
      <x:c r="E686" s="7" t="n">
        <x:v>29664.45</x:v>
      </x:c>
      <x:c r="F686" s="9" t="n">
        <x:v>1</x:v>
      </x:c>
      <x:c r="G686" s="2" t="str">
        <x:v>Московская область</x:v>
      </x:c>
      <x:c r="H686" s="7" t="n">
        <x:f>E686*F686</x:f>
        <x:v>29664.45</x:v>
      </x:c>
      <x:c r="I686" s="2" t="str">
        <x:f>TEXT(B686,"yyyy-mm")</x:f>
        <x:v>2023-08</x:v>
      </x:c>
      <x:c r="J686" s="8" t="n">
        <x:f>COUNTIFS($H$2:$H$1201,"&gt;"&amp;H686)+COUNTIFS($H$2:H686,H686)</x:f>
        <x:v>1128</x:v>
      </x:c>
      <x:c r="K686" s="1"/>
      <x:c r="L686" s="1"/>
    </x:row>
    <x:row r="687" ht="22" customHeight="1">
      <x:c r="A687" s="8" t="n">
        <x:v>538</x:v>
      </x:c>
      <x:c r="B687" s="6" t="n">
        <x:v>45144</x:v>
      </x:c>
      <x:c r="C687" s="2" t="str">
        <x:v>Одежда</x:v>
      </x:c>
      <x:c r="D687" s="2" t="str">
        <x:v>Джинсы</x:v>
      </x:c>
      <x:c r="E687" s="7" t="n">
        <x:v>56185.69</x:v>
      </x:c>
      <x:c r="F687" s="9" t="n">
        <x:v>8</x:v>
      </x:c>
      <x:c r="G687" s="2" t="str">
        <x:v>Екатеринбург</x:v>
      </x:c>
      <x:c r="H687" s="7" t="n">
        <x:f>E687*F687</x:f>
        <x:v>449485.52</x:v>
      </x:c>
      <x:c r="I687" s="2" t="str">
        <x:f>TEXT(B687,"yyyy-mm")</x:f>
        <x:v>2023-08</x:v>
      </x:c>
      <x:c r="J687" s="8" t="n">
        <x:f>COUNTIFS($H$2:$H$1201,"&gt;"&amp;H687)+COUNTIFS($H$2:H687,H687)</x:f>
        <x:v>453</x:v>
      </x:c>
      <x:c r="K687" s="1"/>
      <x:c r="L687" s="1"/>
    </x:row>
    <x:row r="688" ht="22" customHeight="1">
      <x:c r="A688" s="8" t="n">
        <x:v>966</x:v>
      </x:c>
      <x:c r="B688" s="6" t="n">
        <x:v>45144</x:v>
      </x:c>
      <x:c r="C688" s="2" t="str">
        <x:v>Одежда</x:v>
      </x:c>
      <x:c r="D688" s="2" t="str">
        <x:v>Джинсы</x:v>
      </x:c>
      <x:c r="E688" s="7" t="n">
        <x:v>41880.21</x:v>
      </x:c>
      <x:c r="F688" s="9" t="n">
        <x:v>4</x:v>
      </x:c>
      <x:c r="G688" s="2" t="str">
        <x:v>Москва</x:v>
      </x:c>
      <x:c r="H688" s="7" t="n">
        <x:f>E688*F688</x:f>
        <x:v>167520.84</x:v>
      </x:c>
      <x:c r="I688" s="2" t="str">
        <x:f>TEXT(B688,"yyyy-mm")</x:f>
        <x:v>2023-08</x:v>
      </x:c>
      <x:c r="J688" s="8" t="n">
        <x:f>COUNTIFS($H$2:$H$1201,"&gt;"&amp;H688)+COUNTIFS($H$2:H688,H688)</x:f>
        <x:v>827</x:v>
      </x:c>
      <x:c r="K688" s="1"/>
      <x:c r="L688" s="1"/>
    </x:row>
    <x:row r="689" ht="22" customHeight="1">
      <x:c r="A689" s="8" t="n">
        <x:v>985</x:v>
      </x:c>
      <x:c r="B689" s="6" t="n">
        <x:v>45144</x:v>
      </x:c>
      <x:c r="C689" s="2" t="str">
        <x:v>Продукты</x:v>
      </x:c>
      <x:c r="D689" s="2" t="str">
        <x:v>Молоко</x:v>
      </x:c>
      <x:c r="E689" s="7" t="n">
        <x:v>89406.79</x:v>
      </x:c>
      <x:c r="F689" s="9" t="n">
        <x:v>9</x:v>
      </x:c>
      <x:c r="G689" s="2" t="str">
        <x:v>Москва</x:v>
      </x:c>
      <x:c r="H689" s="7" t="n">
        <x:f>E689*F689</x:f>
        <x:v>804661.11</x:v>
      </x:c>
      <x:c r="I689" s="2" t="str">
        <x:f>TEXT(B689,"yyyy-mm")</x:f>
        <x:v>2023-08</x:v>
      </x:c>
      <x:c r="J689" s="8" t="n">
        <x:f>COUNTIFS($H$2:$H$1201,"&gt;"&amp;H689)+COUNTIFS($H$2:H689,H689)</x:f>
        <x:v>192</x:v>
      </x:c>
      <x:c r="K689" s="1"/>
      <x:c r="L689" s="1"/>
    </x:row>
    <x:row r="690" ht="22" customHeight="1">
      <x:c r="A690" s="8" t="n">
        <x:v>772</x:v>
      </x:c>
      <x:c r="B690" s="6" t="n">
        <x:v>45145</x:v>
      </x:c>
      <x:c r="C690" s="2" t="str">
        <x:v>Электроника</x:v>
      </x:c>
      <x:c r="D690" s="2" t="str">
        <x:v>Смартфон</x:v>
      </x:c>
      <x:c r="E690" s="7" t="n">
        <x:v>41195.04</x:v>
      </x:c>
      <x:c r="F690" s="9" t="n">
        <x:v>3</x:v>
      </x:c>
      <x:c r="G690" s="2" t="str">
        <x:v>Московская область</x:v>
      </x:c>
      <x:c r="H690" s="7" t="n">
        <x:f>E690*F690</x:f>
        <x:v>123585.12</x:v>
      </x:c>
      <x:c r="I690" s="2" t="str">
        <x:f>TEXT(B690,"yyyy-mm")</x:f>
        <x:v>2023-08</x:v>
      </x:c>
      <x:c r="J690" s="8" t="n">
        <x:f>COUNTIFS($H$2:$H$1201,"&gt;"&amp;H690)+COUNTIFS($H$2:H690,H690)</x:f>
        <x:v>918</x:v>
      </x:c>
      <x:c r="K690" s="1"/>
      <x:c r="L690" s="1"/>
    </x:row>
    <x:row r="691" ht="22" customHeight="1">
      <x:c r="A691" s="8" t="n">
        <x:v>66</x:v>
      </x:c>
      <x:c r="B691" s="6" t="n">
        <x:v>45146</x:v>
      </x:c>
      <x:c r="C691" s="2" t="str">
        <x:v>Товары для дома</x:v>
      </x:c>
      <x:c r="D691" s="2" t="str">
        <x:v>Подушка</x:v>
      </x:c>
      <x:c r="E691" s="7" t="n">
        <x:v>29272.35</x:v>
      </x:c>
      <x:c r="F691" s="9" t="n">
        <x:v>5</x:v>
      </x:c>
      <x:c r="G691" s="2" t="str">
        <x:v>Казань</x:v>
      </x:c>
      <x:c r="H691" s="7" t="n">
        <x:f>E691*F691</x:f>
        <x:v>146361.75</x:v>
      </x:c>
      <x:c r="I691" s="2" t="str">
        <x:f>TEXT(B691,"yyyy-mm")</x:f>
        <x:v>2023-08</x:v>
      </x:c>
      <x:c r="J691" s="8" t="n">
        <x:f>COUNTIFS($H$2:$H$1201,"&gt;"&amp;H691)+COUNTIFS($H$2:H691,H691)</x:f>
        <x:v>862</x:v>
      </x:c>
      <x:c r="K691" s="1"/>
      <x:c r="L691" s="1"/>
    </x:row>
    <x:row r="692" ht="22" customHeight="1">
      <x:c r="A692" s="8" t="n">
        <x:v>548</x:v>
      </x:c>
      <x:c r="B692" s="6" t="n">
        <x:v>45146</x:v>
      </x:c>
      <x:c r="C692" s="2" t="str">
        <x:v>Одежда</x:v>
      </x:c>
      <x:c r="D692" s="2" t="str">
        <x:v>Джинсы</x:v>
      </x:c>
      <x:c r="E692" s="7" t="n">
        <x:v>82000.31</x:v>
      </x:c>
      <x:c r="F692" s="9" t="n">
        <x:v>3</x:v>
      </x:c>
      <x:c r="G692" s="2" t="str">
        <x:v>Екатеринбург</x:v>
      </x:c>
      <x:c r="H692" s="7" t="n">
        <x:f>E692*F692</x:f>
        <x:v>246000.93</x:v>
      </x:c>
      <x:c r="I692" s="2" t="str">
        <x:f>TEXT(B692,"yyyy-mm")</x:f>
        <x:v>2023-08</x:v>
      </x:c>
      <x:c r="J692" s="8" t="n">
        <x:f>COUNTIFS($H$2:$H$1201,"&gt;"&amp;H692)+COUNTIFS($H$2:H692,H692)</x:f>
        <x:v>709</x:v>
      </x:c>
      <x:c r="K692" s="1"/>
      <x:c r="L692" s="1"/>
    </x:row>
    <x:row r="693" ht="22" customHeight="1">
      <x:c r="A693" s="8" t="n">
        <x:v>601</x:v>
      </x:c>
      <x:c r="B693" s="6" t="n">
        <x:v>45146</x:v>
      </x:c>
      <x:c r="C693" s="2" t="str">
        <x:v>Товары для дома</x:v>
      </x:c>
      <x:c r="D693" s="2" t="str">
        <x:v>Подушка</x:v>
      </x:c>
      <x:c r="E693" s="7" t="n">
        <x:v>142444.69</x:v>
      </x:c>
      <x:c r="F693" s="9" t="n">
        <x:v>6</x:v>
      </x:c>
      <x:c r="G693" s="2" t="str">
        <x:v>Московская область</x:v>
      </x:c>
      <x:c r="H693" s="7" t="n">
        <x:f>E693*F693</x:f>
        <x:v>854668.14</x:v>
      </x:c>
      <x:c r="I693" s="2" t="str">
        <x:f>TEXT(B693,"yyyy-mm")</x:f>
        <x:v>2023-08</x:v>
      </x:c>
      <x:c r="J693" s="8" t="n">
        <x:f>COUNTIFS($H$2:$H$1201,"&gt;"&amp;H693)+COUNTIFS($H$2:H693,H693)</x:f>
        <x:v>162</x:v>
      </x:c>
      <x:c r="K693" s="1"/>
      <x:c r="L693" s="1"/>
    </x:row>
    <x:row r="694" ht="22" customHeight="1">
      <x:c r="A694" s="8" t="n">
        <x:v>750</x:v>
      </x:c>
      <x:c r="B694" s="6" t="n">
        <x:v>45146</x:v>
      </x:c>
      <x:c r="C694" s="2" t="str">
        <x:v>Продукты</x:v>
      </x:c>
      <x:c r="D694" s="2" t="str">
        <x:v>Кофе</x:v>
      </x:c>
      <x:c r="E694" s="7" t="n">
        <x:v>66613.58</x:v>
      </x:c>
      <x:c r="F694" s="9" t="n">
        <x:v>5</x:v>
      </x:c>
      <x:c r="G694" s="2" t="str">
        <x:v>Санкт‑Петербург</x:v>
      </x:c>
      <x:c r="H694" s="7" t="n">
        <x:f>E694*F694</x:f>
        <x:v>333067.9</x:v>
      </x:c>
      <x:c r="I694" s="2" t="str">
        <x:f>TEXT(B694,"yyyy-mm")</x:f>
        <x:v>2023-08</x:v>
      </x:c>
      <x:c r="J694" s="8" t="n">
        <x:f>COUNTIFS($H$2:$H$1201,"&gt;"&amp;H694)+COUNTIFS($H$2:H694,H694)</x:f>
        <x:v>597</x:v>
      </x:c>
      <x:c r="K694" s="1"/>
      <x:c r="L694" s="1"/>
    </x:row>
    <x:row r="695" ht="22" customHeight="1">
      <x:c r="A695" s="8" t="n">
        <x:v>836</x:v>
      </x:c>
      <x:c r="B695" s="6" t="n">
        <x:v>45146</x:v>
      </x:c>
      <x:c r="C695" s="2" t="str">
        <x:v>Товары для дома</x:v>
      </x:c>
      <x:c r="D695" s="2" t="str">
        <x:v>Кружка</x:v>
      </x:c>
      <x:c r="E695" s="7" t="n">
        <x:v>138433.73</x:v>
      </x:c>
      <x:c r="F695" s="9" t="n">
        <x:v>3</x:v>
      </x:c>
      <x:c r="G695" s="2" t="str">
        <x:v>Санкт‑Петербург</x:v>
      </x:c>
      <x:c r="H695" s="7" t="n">
        <x:f>E695*F695</x:f>
        <x:v>415301.19000000006</x:v>
      </x:c>
      <x:c r="I695" s="2" t="str">
        <x:f>TEXT(B695,"yyyy-mm")</x:f>
        <x:v>2023-08</x:v>
      </x:c>
      <x:c r="J695" s="8" t="n">
        <x:f>COUNTIFS($H$2:$H$1201,"&gt;"&amp;H695)+COUNTIFS($H$2:H695,H695)</x:f>
        <x:v>500</x:v>
      </x:c>
      <x:c r="K695" s="1"/>
      <x:c r="L695" s="1"/>
    </x:row>
    <x:row r="696" ht="22" customHeight="1">
      <x:c r="A696" s="8" t="n">
        <x:v>147</x:v>
      </x:c>
      <x:c r="B696" s="6" t="n">
        <x:v>45147</x:v>
      </x:c>
      <x:c r="C696" s="2" t="str">
        <x:v>Товары для дома</x:v>
      </x:c>
      <x:c r="D696" s="2" t="str">
        <x:v>Полотенце</x:v>
      </x:c>
      <x:c r="E696" s="7" t="n">
        <x:v>96195.73</x:v>
      </x:c>
      <x:c r="F696" s="9" t="n">
        <x:v>8</x:v>
      </x:c>
      <x:c r="G696" s="2" t="str">
        <x:v>Екатеринбург</x:v>
      </x:c>
      <x:c r="H696" s="7" t="n">
        <x:f>E696*F696</x:f>
        <x:v>769565.84</x:v>
      </x:c>
      <x:c r="I696" s="2" t="str">
        <x:f>TEXT(B696,"yyyy-mm")</x:f>
        <x:v>2023-08</x:v>
      </x:c>
      <x:c r="J696" s="8" t="n">
        <x:f>COUNTIFS($H$2:$H$1201,"&gt;"&amp;H696)+COUNTIFS($H$2:H696,H696)</x:f>
        <x:v>218</x:v>
      </x:c>
      <x:c r="K696" s="1"/>
      <x:c r="L696" s="1"/>
    </x:row>
    <x:row r="697" ht="22" customHeight="1">
      <x:c r="A697" s="8" t="n">
        <x:v>433</x:v>
      </x:c>
      <x:c r="B697" s="6" t="n">
        <x:v>45147</x:v>
      </x:c>
      <x:c r="C697" s="2" t="str">
        <x:v>Электроника</x:v>
      </x:c>
      <x:c r="D697" s="2" t="str">
        <x:v>Ноутбук</x:v>
      </x:c>
      <x:c r="E697" s="7" t="n">
        <x:v>117916.68</x:v>
      </x:c>
      <x:c r="F697" s="9" t="n">
        <x:v>2</x:v>
      </x:c>
      <x:c r="G697" s="2" t="str">
        <x:v>Новосибирск</x:v>
      </x:c>
      <x:c r="H697" s="7" t="n">
        <x:f>E697*F697</x:f>
        <x:v>235833.36</x:v>
      </x:c>
      <x:c r="I697" s="2" t="str">
        <x:f>TEXT(B697,"yyyy-mm")</x:f>
        <x:v>2023-08</x:v>
      </x:c>
      <x:c r="J697" s="8" t="n">
        <x:f>COUNTIFS($H$2:$H$1201,"&gt;"&amp;H697)+COUNTIFS($H$2:H697,H697)</x:f>
        <x:v>730</x:v>
      </x:c>
      <x:c r="K697" s="1"/>
      <x:c r="L697" s="1"/>
    </x:row>
    <x:row r="698" ht="22" customHeight="1">
      <x:c r="A698" s="8" t="n">
        <x:v>981</x:v>
      </x:c>
      <x:c r="B698" s="6" t="n">
        <x:v>45147</x:v>
      </x:c>
      <x:c r="C698" s="2" t="str">
        <x:v>Одежда</x:v>
      </x:c>
      <x:c r="D698" s="2" t="str">
        <x:v>Футболка</x:v>
      </x:c>
      <x:c r="E698" s="7" t="n">
        <x:v>137704.42</x:v>
      </x:c>
      <x:c r="F698" s="9" t="n">
        <x:v>1</x:v>
      </x:c>
      <x:c r="G698" s="2" t="str">
        <x:v>Санкт‑Петербург</x:v>
      </x:c>
      <x:c r="H698" s="7" t="n">
        <x:f>E698*F698</x:f>
        <x:v>137704.42</x:v>
      </x:c>
      <x:c r="I698" s="2" t="str">
        <x:f>TEXT(B698,"yyyy-mm")</x:f>
        <x:v>2023-08</x:v>
      </x:c>
      <x:c r="J698" s="8" t="n">
        <x:f>COUNTIFS($H$2:$H$1201,"&gt;"&amp;H698)+COUNTIFS($H$2:H698,H698)</x:f>
        <x:v>885</x:v>
      </x:c>
      <x:c r="K698" s="1"/>
      <x:c r="L698" s="1"/>
    </x:row>
    <x:row r="699" ht="22" customHeight="1">
      <x:c r="A699" s="8" t="n">
        <x:v>1129</x:v>
      </x:c>
      <x:c r="B699" s="6" t="n">
        <x:v>45147</x:v>
      </x:c>
      <x:c r="C699" s="2" t="str">
        <x:v>Товары для дома</x:v>
      </x:c>
      <x:c r="D699" s="2" t="str">
        <x:v>Полотенце</x:v>
      </x:c>
      <x:c r="E699" s="7" t="n">
        <x:v>28885.71</x:v>
      </x:c>
      <x:c r="F699" s="9" t="n">
        <x:v>1</x:v>
      </x:c>
      <x:c r="G699" s="2" t="str">
        <x:v>Москва</x:v>
      </x:c>
      <x:c r="H699" s="7" t="n">
        <x:f>E699*F699</x:f>
        <x:v>28885.71</x:v>
      </x:c>
      <x:c r="I699" s="2" t="str">
        <x:f>TEXT(B699,"yyyy-mm")</x:f>
        <x:v>2023-08</x:v>
      </x:c>
      <x:c r="J699" s="8" t="n">
        <x:f>COUNTIFS($H$2:$H$1201,"&gt;"&amp;H699)+COUNTIFS($H$2:H699,H699)</x:f>
        <x:v>1132</x:v>
      </x:c>
      <x:c r="K699" s="1"/>
      <x:c r="L699" s="1"/>
    </x:row>
    <x:row r="700" ht="22" customHeight="1">
      <x:c r="A700" s="8" t="n">
        <x:v>790</x:v>
      </x:c>
      <x:c r="B700" s="6" t="n">
        <x:v>45148</x:v>
      </x:c>
      <x:c r="C700" s="2" t="str">
        <x:v>Продукты</x:v>
      </x:c>
      <x:c r="D700" s="2" t="str">
        <x:v>Хлеб</x:v>
      </x:c>
      <x:c r="E700" s="7" t="n">
        <x:v>106226.45</x:v>
      </x:c>
      <x:c r="F700" s="9" t="n">
        <x:v>8</x:v>
      </x:c>
      <x:c r="G700" s="2" t="str">
        <x:v>Казань</x:v>
      </x:c>
      <x:c r="H700" s="7" t="n">
        <x:f>E700*F700</x:f>
        <x:v>849811.6</x:v>
      </x:c>
      <x:c r="I700" s="2" t="str">
        <x:f>TEXT(B700,"yyyy-mm")</x:f>
        <x:v>2023-08</x:v>
      </x:c>
      <x:c r="J700" s="8" t="n">
        <x:f>COUNTIFS($H$2:$H$1201,"&gt;"&amp;H700)+COUNTIFS($H$2:H700,H700)</x:f>
        <x:v>166</x:v>
      </x:c>
      <x:c r="K700" s="1"/>
      <x:c r="L700" s="1"/>
    </x:row>
    <x:row r="701" ht="22" customHeight="1">
      <x:c r="A701" s="8" t="n">
        <x:v>911</x:v>
      </x:c>
      <x:c r="B701" s="6" t="n">
        <x:v>45148</x:v>
      </x:c>
      <x:c r="C701" s="2" t="str">
        <x:v>Одежда</x:v>
      </x:c>
      <x:c r="D701" s="2" t="str">
        <x:v>Куртка</x:v>
      </x:c>
      <x:c r="E701" s="7" t="n">
        <x:v>17003.13</x:v>
      </x:c>
      <x:c r="F701" s="9" t="n">
        <x:v>9</x:v>
      </x:c>
      <x:c r="G701" s="2" t="str">
        <x:v>Москва</x:v>
      </x:c>
      <x:c r="H701" s="7" t="n">
        <x:f>E701*F701</x:f>
        <x:v>153028.17</x:v>
      </x:c>
      <x:c r="I701" s="2" t="str">
        <x:f>TEXT(B701,"yyyy-mm")</x:f>
        <x:v>2023-08</x:v>
      </x:c>
      <x:c r="J701" s="8" t="n">
        <x:f>COUNTIFS($H$2:$H$1201,"&gt;"&amp;H701)+COUNTIFS($H$2:H701,H701)</x:f>
        <x:v>849</x:v>
      </x:c>
      <x:c r="K701" s="1"/>
      <x:c r="L701" s="1"/>
    </x:row>
    <x:row r="702" ht="22" customHeight="1">
      <x:c r="A702" s="8" t="n">
        <x:v>1068</x:v>
      </x:c>
      <x:c r="B702" s="6" t="n">
        <x:v>45148</x:v>
      </x:c>
      <x:c r="C702" s="2" t="str">
        <x:v>Продукты</x:v>
      </x:c>
      <x:c r="D702" s="2" t="str">
        <x:v>Шоколад</x:v>
      </x:c>
      <x:c r="E702" s="7" t="n">
        <x:v>116809.63</x:v>
      </x:c>
      <x:c r="F702" s="9" t="n">
        <x:v>7</x:v>
      </x:c>
      <x:c r="G702" s="2" t="str">
        <x:v>Екатеринбург</x:v>
      </x:c>
      <x:c r="H702" s="7" t="n">
        <x:f>E702*F702</x:f>
        <x:v>817667.41</x:v>
      </x:c>
      <x:c r="I702" s="2" t="str">
        <x:f>TEXT(B702,"yyyy-mm")</x:f>
        <x:v>2023-08</x:v>
      </x:c>
      <x:c r="J702" s="8" t="n">
        <x:f>COUNTIFS($H$2:$H$1201,"&gt;"&amp;H702)+COUNTIFS($H$2:H702,H702)</x:f>
        <x:v>183</x:v>
      </x:c>
      <x:c r="K702" s="1"/>
      <x:c r="L702" s="1"/>
    </x:row>
    <x:row r="703" ht="22" customHeight="1">
      <x:c r="A703" s="8" t="n">
        <x:v>154</x:v>
      </x:c>
      <x:c r="B703" s="6" t="n">
        <x:v>45149</x:v>
      </x:c>
      <x:c r="C703" s="2" t="str">
        <x:v>Электроника</x:v>
      </x:c>
      <x:c r="D703" s="2" t="str">
        <x:v>Планшет</x:v>
      </x:c>
      <x:c r="E703" s="7" t="n">
        <x:v>8105.83</x:v>
      </x:c>
      <x:c r="F703" s="9" t="n">
        <x:v>2</x:v>
      </x:c>
      <x:c r="G703" s="2" t="str">
        <x:v>Москва</x:v>
      </x:c>
      <x:c r="H703" s="7" t="n">
        <x:f>E703*F703</x:f>
        <x:v>16211.66</x:v>
      </x:c>
      <x:c r="I703" s="2" t="str">
        <x:f>TEXT(B703,"yyyy-mm")</x:f>
        <x:v>2023-08</x:v>
      </x:c>
      <x:c r="J703" s="8" t="n">
        <x:f>COUNTIFS($H$2:$H$1201,"&gt;"&amp;H703)+COUNTIFS($H$2:H703,H703)</x:f>
        <x:v>1164</x:v>
      </x:c>
      <x:c r="K703" s="1"/>
      <x:c r="L703" s="1"/>
    </x:row>
    <x:row r="704" ht="22" customHeight="1">
      <x:c r="A704" s="8" t="n">
        <x:v>159</x:v>
      </x:c>
      <x:c r="B704" s="6" t="n">
        <x:v>45149</x:v>
      </x:c>
      <x:c r="C704" s="2" t="str">
        <x:v>Продукты</x:v>
      </x:c>
      <x:c r="D704" s="2" t="str">
        <x:v>Шоколад</x:v>
      </x:c>
      <x:c r="E704" s="7" t="n">
        <x:v>118399.1</x:v>
      </x:c>
      <x:c r="F704" s="9" t="n">
        <x:v>5</x:v>
      </x:c>
      <x:c r="G704" s="2" t="str">
        <x:v>Московская область</x:v>
      </x:c>
      <x:c r="H704" s="7" t="n">
        <x:f>E704*F704</x:f>
        <x:v>591995.5</x:v>
      </x:c>
      <x:c r="I704" s="2" t="str">
        <x:f>TEXT(B704,"yyyy-mm")</x:f>
        <x:v>2023-08</x:v>
      </x:c>
      <x:c r="J704" s="8" t="n">
        <x:f>COUNTIFS($H$2:$H$1201,"&gt;"&amp;H704)+COUNTIFS($H$2:H704,H704)</x:f>
        <x:v>324</x:v>
      </x:c>
      <x:c r="K704" s="1"/>
      <x:c r="L704" s="1"/>
    </x:row>
    <x:row r="705" ht="22" customHeight="1">
      <x:c r="A705" s="8" t="n">
        <x:v>473</x:v>
      </x:c>
      <x:c r="B705" s="6" t="n">
        <x:v>45149</x:v>
      </x:c>
      <x:c r="C705" s="2" t="str">
        <x:v>Товары для дома</x:v>
      </x:c>
      <x:c r="D705" s="2" t="str">
        <x:v>Плед</x:v>
      </x:c>
      <x:c r="E705" s="7" t="n">
        <x:v>108927.48</x:v>
      </x:c>
      <x:c r="F705" s="9" t="n">
        <x:v>8</x:v>
      </x:c>
      <x:c r="G705" s="2" t="str">
        <x:v>Екатеринбург</x:v>
      </x:c>
      <x:c r="H705" s="7" t="n">
        <x:f>E705*F705</x:f>
        <x:v>871419.84</x:v>
      </x:c>
      <x:c r="I705" s="2" t="str">
        <x:f>TEXT(B705,"yyyy-mm")</x:f>
        <x:v>2023-08</x:v>
      </x:c>
      <x:c r="J705" s="8" t="n">
        <x:f>COUNTIFS($H$2:$H$1201,"&gt;"&amp;H705)+COUNTIFS($H$2:H705,H705)</x:f>
        <x:v>152</x:v>
      </x:c>
      <x:c r="K705" s="1"/>
      <x:c r="L705" s="1"/>
    </x:row>
    <x:row r="706" ht="22" customHeight="1">
      <x:c r="A706" s="8" t="n">
        <x:v>545</x:v>
      </x:c>
      <x:c r="B706" s="6" t="n">
        <x:v>45149</x:v>
      </x:c>
      <x:c r="C706" s="2" t="str">
        <x:v>Электроника</x:v>
      </x:c>
      <x:c r="D706" s="2" t="str">
        <x:v>Наушники</x:v>
      </x:c>
      <x:c r="E706" s="7" t="n">
        <x:v>1754.77</x:v>
      </x:c>
      <x:c r="F706" s="9" t="n">
        <x:v>6</x:v>
      </x:c>
      <x:c r="G706" s="2" t="str">
        <x:v>Москва</x:v>
      </x:c>
      <x:c r="H706" s="7" t="n">
        <x:f>E706*F706</x:f>
        <x:v>10528.619999999999</x:v>
      </x:c>
      <x:c r="I706" s="2" t="str">
        <x:f>TEXT(B706,"yyyy-mm")</x:f>
        <x:v>2023-08</x:v>
      </x:c>
      <x:c r="J706" s="8" t="n">
        <x:f>COUNTIFS($H$2:$H$1201,"&gt;"&amp;H706)+COUNTIFS($H$2:H706,H706)</x:f>
        <x:v>1183</x:v>
      </x:c>
      <x:c r="K706" s="1"/>
      <x:c r="L706" s="1"/>
    </x:row>
    <x:row r="707" ht="22" customHeight="1">
      <x:c r="A707" s="8" t="n">
        <x:v>898</x:v>
      </x:c>
      <x:c r="B707" s="6" t="n">
        <x:v>45149</x:v>
      </x:c>
      <x:c r="C707" s="2" t="str">
        <x:v>Одежда</x:v>
      </x:c>
      <x:c r="D707" s="2" t="str">
        <x:v>Джинсы</x:v>
      </x:c>
      <x:c r="E707" s="7" t="n">
        <x:v>41593.2</x:v>
      </x:c>
      <x:c r="F707" s="9" t="n">
        <x:v>9</x:v>
      </x:c>
      <x:c r="G707" s="2" t="str">
        <x:v>Екатеринбург</x:v>
      </x:c>
      <x:c r="H707" s="7" t="n">
        <x:f>E707*F707</x:f>
        <x:v>374338.8</x:v>
      </x:c>
      <x:c r="I707" s="2" t="str">
        <x:f>TEXT(B707,"yyyy-mm")</x:f>
        <x:v>2023-08</x:v>
      </x:c>
      <x:c r="J707" s="8" t="n">
        <x:f>COUNTIFS($H$2:$H$1201,"&gt;"&amp;H707)+COUNTIFS($H$2:H707,H707)</x:f>
        <x:v>554</x:v>
      </x:c>
      <x:c r="K707" s="1"/>
      <x:c r="L707" s="1"/>
    </x:row>
    <x:row r="708" ht="22" customHeight="1">
      <x:c r="A708" s="8" t="n">
        <x:v>1171</x:v>
      </x:c>
      <x:c r="B708" s="6" t="n">
        <x:v>45149</x:v>
      </x:c>
      <x:c r="C708" s="2" t="str">
        <x:v>Электроника</x:v>
      </x:c>
      <x:c r="D708" s="2" t="str">
        <x:v>Наушники</x:v>
      </x:c>
      <x:c r="E708" s="7" t="n">
        <x:v>59755.12</x:v>
      </x:c>
      <x:c r="F708" s="9" t="n">
        <x:v>3</x:v>
      </x:c>
      <x:c r="G708" s="2" t="str">
        <x:v>Казань</x:v>
      </x:c>
      <x:c r="H708" s="7" t="n">
        <x:f>E708*F708</x:f>
        <x:v>179265.36000000002</x:v>
      </x:c>
      <x:c r="I708" s="2" t="str">
        <x:f>TEXT(B708,"yyyy-mm")</x:f>
        <x:v>2023-08</x:v>
      </x:c>
      <x:c r="J708" s="8" t="n">
        <x:f>COUNTIFS($H$2:$H$1201,"&gt;"&amp;H708)+COUNTIFS($H$2:H708,H708)</x:f>
        <x:v>813</x:v>
      </x:c>
      <x:c r="K708" s="1"/>
      <x:c r="L708" s="1"/>
    </x:row>
    <x:row r="709" ht="22" customHeight="1">
      <x:c r="A709" s="8" t="n">
        <x:v>283</x:v>
      </x:c>
      <x:c r="B709" s="6" t="n">
        <x:v>45150</x:v>
      </x:c>
      <x:c r="C709" s="2" t="str">
        <x:v>Электроника</x:v>
      </x:c>
      <x:c r="D709" s="2" t="str">
        <x:v>Планшет</x:v>
      </x:c>
      <x:c r="E709" s="7" t="n">
        <x:v>103905.5</x:v>
      </x:c>
      <x:c r="F709" s="9" t="n">
        <x:v>10</x:v>
      </x:c>
      <x:c r="G709" s="2" t="str">
        <x:v>Новосибирск</x:v>
      </x:c>
      <x:c r="H709" s="7" t="n">
        <x:f>E709*F709</x:f>
        <x:v>1039055</x:v>
      </x:c>
      <x:c r="I709" s="2" t="str">
        <x:f>TEXT(B709,"yyyy-mm")</x:f>
        <x:v>2023-08</x:v>
      </x:c>
      <x:c r="J709" s="8" t="n">
        <x:f>COUNTIFS($H$2:$H$1201,"&gt;"&amp;H709)+COUNTIFS($H$2:H709,H709)</x:f>
        <x:v>77</x:v>
      </x:c>
      <x:c r="K709" s="1"/>
      <x:c r="L709" s="1"/>
    </x:row>
    <x:row r="710" ht="22" customHeight="1">
      <x:c r="A710" s="8" t="n">
        <x:v>369</x:v>
      </x:c>
      <x:c r="B710" s="6" t="n">
        <x:v>45150</x:v>
      </x:c>
      <x:c r="C710" s="2" t="str">
        <x:v>Товары для дома</x:v>
      </x:c>
      <x:c r="D710" s="2" t="str">
        <x:v>Плед</x:v>
      </x:c>
      <x:c r="E710" s="7" t="n">
        <x:v>10833.39</x:v>
      </x:c>
      <x:c r="F710" s="9" t="n">
        <x:v>3</x:v>
      </x:c>
      <x:c r="G710" s="2" t="str">
        <x:v>Казань</x:v>
      </x:c>
      <x:c r="H710" s="7" t="n">
        <x:f>E710*F710</x:f>
        <x:v>32500.17</x:v>
      </x:c>
      <x:c r="I710" s="2" t="str">
        <x:f>TEXT(B710,"yyyy-mm")</x:f>
        <x:v>2023-08</x:v>
      </x:c>
      <x:c r="J710" s="8" t="n">
        <x:f>COUNTIFS($H$2:$H$1201,"&gt;"&amp;H710)+COUNTIFS($H$2:H710,H710)</x:f>
        <x:v>1119</x:v>
      </x:c>
      <x:c r="K710" s="1"/>
      <x:c r="L710" s="1"/>
    </x:row>
    <x:row r="711" ht="22" customHeight="1">
      <x:c r="A711" s="8" t="n">
        <x:v>565</x:v>
      </x:c>
      <x:c r="B711" s="6" t="n">
        <x:v>45150</x:v>
      </x:c>
      <x:c r="C711" s="2" t="str">
        <x:v>Продукты</x:v>
      </x:c>
      <x:c r="D711" s="2" t="str">
        <x:v>Хлеб</x:v>
      </x:c>
      <x:c r="E711" s="7" t="n">
        <x:v>50781.25</x:v>
      </x:c>
      <x:c r="F711" s="9" t="n">
        <x:v>2</x:v>
      </x:c>
      <x:c r="G711" s="2" t="str">
        <x:v>Московская область</x:v>
      </x:c>
      <x:c r="H711" s="7" t="n">
        <x:f>E711*F711</x:f>
        <x:v>101562.5</x:v>
      </x:c>
      <x:c r="I711" s="2" t="str">
        <x:f>TEXT(B711,"yyyy-mm")</x:f>
        <x:v>2023-08</x:v>
      </x:c>
      <x:c r="J711" s="8" t="n">
        <x:f>COUNTIFS($H$2:$H$1201,"&gt;"&amp;H711)+COUNTIFS($H$2:H711,H711)</x:f>
        <x:v>969</x:v>
      </x:c>
      <x:c r="K711" s="1"/>
      <x:c r="L711" s="1"/>
    </x:row>
    <x:row r="712" ht="22" customHeight="1">
      <x:c r="A712" s="8" t="n">
        <x:v>786</x:v>
      </x:c>
      <x:c r="B712" s="6" t="n">
        <x:v>45150</x:v>
      </x:c>
      <x:c r="C712" s="2" t="str">
        <x:v>Одежда</x:v>
      </x:c>
      <x:c r="D712" s="2" t="str">
        <x:v>Куртка</x:v>
      </x:c>
      <x:c r="E712" s="7" t="n">
        <x:v>56341.37</x:v>
      </x:c>
      <x:c r="F712" s="9" t="n">
        <x:v>10</x:v>
      </x:c>
      <x:c r="G712" s="2" t="str">
        <x:v>Санкт‑Петербург</x:v>
      </x:c>
      <x:c r="H712" s="7" t="n">
        <x:f>E712*F712</x:f>
        <x:v>563413.7000000001</x:v>
      </x:c>
      <x:c r="I712" s="2" t="str">
        <x:f>TEXT(B712,"yyyy-mm")</x:f>
        <x:v>2023-08</x:v>
      </x:c>
      <x:c r="J712" s="8" t="n">
        <x:f>COUNTIFS($H$2:$H$1201,"&gt;"&amp;H712)+COUNTIFS($H$2:H712,H712)</x:f>
        <x:v>358</x:v>
      </x:c>
      <x:c r="K712" s="1"/>
      <x:c r="L712" s="1"/>
    </x:row>
    <x:row r="713" ht="22" customHeight="1">
      <x:c r="A713" s="8" t="n">
        <x:v>963</x:v>
      </x:c>
      <x:c r="B713" s="6" t="n">
        <x:v>45150</x:v>
      </x:c>
      <x:c r="C713" s="2" t="str">
        <x:v>Одежда</x:v>
      </x:c>
      <x:c r="D713" s="2" t="str">
        <x:v>Куртка</x:v>
      </x:c>
      <x:c r="E713" s="7" t="n">
        <x:v>80751.61</x:v>
      </x:c>
      <x:c r="F713" s="9" t="n">
        <x:v>5</x:v>
      </x:c>
      <x:c r="G713" s="2" t="str">
        <x:v>Казань</x:v>
      </x:c>
      <x:c r="H713" s="7" t="n">
        <x:f>E713*F713</x:f>
        <x:v>403758.05</x:v>
      </x:c>
      <x:c r="I713" s="2" t="str">
        <x:f>TEXT(B713,"yyyy-mm")</x:f>
        <x:v>2023-08</x:v>
      </x:c>
      <x:c r="J713" s="8" t="n">
        <x:f>COUNTIFS($H$2:$H$1201,"&gt;"&amp;H713)+COUNTIFS($H$2:H713,H713)</x:f>
        <x:v>511</x:v>
      </x:c>
      <x:c r="K713" s="1"/>
      <x:c r="L713" s="1"/>
    </x:row>
    <x:row r="714" ht="22" customHeight="1">
      <x:c r="A714" s="8" t="n">
        <x:v>491</x:v>
      </x:c>
      <x:c r="B714" s="6" t="n">
        <x:v>45151</x:v>
      </x:c>
      <x:c r="C714" s="2" t="str">
        <x:v>Товары для дома</x:v>
      </x:c>
      <x:c r="D714" s="2" t="str">
        <x:v>Плед</x:v>
      </x:c>
      <x:c r="E714" s="7" t="n">
        <x:v>128948.39</x:v>
      </x:c>
      <x:c r="F714" s="9" t="n">
        <x:v>1</x:v>
      </x:c>
      <x:c r="G714" s="2" t="str">
        <x:v>Казань</x:v>
      </x:c>
      <x:c r="H714" s="7" t="n">
        <x:f>E714*F714</x:f>
        <x:v>128948.39</x:v>
      </x:c>
      <x:c r="I714" s="2" t="str">
        <x:f>TEXT(B714,"yyyy-mm")</x:f>
        <x:v>2023-08</x:v>
      </x:c>
      <x:c r="J714" s="8" t="n">
        <x:f>COUNTIFS($H$2:$H$1201,"&gt;"&amp;H714)+COUNTIFS($H$2:H714,H714)</x:f>
        <x:v>907</x:v>
      </x:c>
      <x:c r="K714" s="1"/>
      <x:c r="L714" s="1"/>
    </x:row>
    <x:row r="715" ht="22" customHeight="1">
      <x:c r="A715" s="8" t="n">
        <x:v>590</x:v>
      </x:c>
      <x:c r="B715" s="6" t="n">
        <x:v>45151</x:v>
      </x:c>
      <x:c r="C715" s="2" t="str">
        <x:v>Электроника</x:v>
      </x:c>
      <x:c r="D715" s="2" t="str">
        <x:v>Планшет</x:v>
      </x:c>
      <x:c r="E715" s="7" t="n">
        <x:v>66201.89</x:v>
      </x:c>
      <x:c r="F715" s="9" t="n">
        <x:v>1</x:v>
      </x:c>
      <x:c r="G715" s="2" t="str">
        <x:v>Московская область</x:v>
      </x:c>
      <x:c r="H715" s="7" t="n">
        <x:f>E715*F715</x:f>
        <x:v>66201.89</x:v>
      </x:c>
      <x:c r="I715" s="2" t="str">
        <x:f>TEXT(B715,"yyyy-mm")</x:f>
        <x:v>2023-08</x:v>
      </x:c>
      <x:c r="J715" s="8" t="n">
        <x:f>COUNTIFS($H$2:$H$1201,"&gt;"&amp;H715)+COUNTIFS($H$2:H715,H715)</x:f>
        <x:v>1042</x:v>
      </x:c>
      <x:c r="K715" s="1"/>
      <x:c r="L715" s="1"/>
    </x:row>
    <x:row r="716" ht="22" customHeight="1">
      <x:c r="A716" s="8" t="n">
        <x:v>671</x:v>
      </x:c>
      <x:c r="B716" s="6" t="n">
        <x:v>45151</x:v>
      </x:c>
      <x:c r="C716" s="2" t="str">
        <x:v>Товары для дома</x:v>
      </x:c>
      <x:c r="D716" s="2" t="str">
        <x:v>Полотенце</x:v>
      </x:c>
      <x:c r="E716" s="7" t="n">
        <x:v>19120.19</x:v>
      </x:c>
      <x:c r="F716" s="9" t="n">
        <x:v>9</x:v>
      </x:c>
      <x:c r="G716" s="2" t="str">
        <x:v>Санкт‑Петербург</x:v>
      </x:c>
      <x:c r="H716" s="7" t="n">
        <x:f>E716*F716</x:f>
        <x:v>172081.71</x:v>
      </x:c>
      <x:c r="I716" s="2" t="str">
        <x:f>TEXT(B716,"yyyy-mm")</x:f>
        <x:v>2023-08</x:v>
      </x:c>
      <x:c r="J716" s="8" t="n">
        <x:f>COUNTIFS($H$2:$H$1201,"&gt;"&amp;H716)+COUNTIFS($H$2:H716,H716)</x:f>
        <x:v>822</x:v>
      </x:c>
      <x:c r="K716" s="1"/>
      <x:c r="L716" s="1"/>
    </x:row>
    <x:row r="717" ht="22" customHeight="1">
      <x:c r="A717" s="8" t="n">
        <x:v>968</x:v>
      </x:c>
      <x:c r="B717" s="6" t="n">
        <x:v>45151</x:v>
      </x:c>
      <x:c r="C717" s="2" t="str">
        <x:v>Продукты</x:v>
      </x:c>
      <x:c r="D717" s="2" t="str">
        <x:v>Шоколад</x:v>
      </x:c>
      <x:c r="E717" s="7" t="n">
        <x:v>20942.72</x:v>
      </x:c>
      <x:c r="F717" s="9" t="n">
        <x:v>1</x:v>
      </x:c>
      <x:c r="G717" s="2" t="str">
        <x:v>Екатеринбург</x:v>
      </x:c>
      <x:c r="H717" s="7" t="n">
        <x:f>E717*F717</x:f>
        <x:v>20942.72</x:v>
      </x:c>
      <x:c r="I717" s="2" t="str">
        <x:f>TEXT(B717,"yyyy-mm")</x:f>
        <x:v>2023-08</x:v>
      </x:c>
      <x:c r="J717" s="8" t="n">
        <x:f>COUNTIFS($H$2:$H$1201,"&gt;"&amp;H717)+COUNTIFS($H$2:H717,H717)</x:f>
        <x:v>1151</x:v>
      </x:c>
      <x:c r="K717" s="1"/>
      <x:c r="L717" s="1"/>
    </x:row>
    <x:row r="718" ht="22" customHeight="1">
      <x:c r="A718" s="8" t="n">
        <x:v>1031</x:v>
      </x:c>
      <x:c r="B718" s="6" t="n">
        <x:v>45151</x:v>
      </x:c>
      <x:c r="C718" s="2" t="str">
        <x:v>Товары для дома</x:v>
      </x:c>
      <x:c r="D718" s="2" t="str">
        <x:v>Полотенце</x:v>
      </x:c>
      <x:c r="E718" s="7" t="n">
        <x:v>142010.64</x:v>
      </x:c>
      <x:c r="F718" s="9" t="n">
        <x:v>6</x:v>
      </x:c>
      <x:c r="G718" s="2" t="str">
        <x:v>Санкт‑Петербург</x:v>
      </x:c>
      <x:c r="H718" s="7" t="n">
        <x:f>E718*F718</x:f>
        <x:v>852063.8400000001</x:v>
      </x:c>
      <x:c r="I718" s="2" t="str">
        <x:f>TEXT(B718,"yyyy-mm")</x:f>
        <x:v>2023-08</x:v>
      </x:c>
      <x:c r="J718" s="8" t="n">
        <x:f>COUNTIFS($H$2:$H$1201,"&gt;"&amp;H718)+COUNTIFS($H$2:H718,H718)</x:f>
        <x:v>164</x:v>
      </x:c>
      <x:c r="K718" s="1"/>
      <x:c r="L718" s="1"/>
    </x:row>
    <x:row r="719" ht="22" customHeight="1">
      <x:c r="A719" s="8" t="n">
        <x:v>55</x:v>
      </x:c>
      <x:c r="B719" s="6" t="n">
        <x:v>45152</x:v>
      </x:c>
      <x:c r="C719" s="2" t="str">
        <x:v>Одежда</x:v>
      </x:c>
      <x:c r="D719" s="2" t="str">
        <x:v>Куртка</x:v>
      </x:c>
      <x:c r="E719" s="7" t="n">
        <x:v>28143.56</x:v>
      </x:c>
      <x:c r="F719" s="9" t="n">
        <x:v>10</x:v>
      </x:c>
      <x:c r="G719" s="2" t="str">
        <x:v>Московская область</x:v>
      </x:c>
      <x:c r="H719" s="7" t="n">
        <x:f>E719*F719</x:f>
        <x:v>281435.60000000003</x:v>
      </x:c>
      <x:c r="I719" s="2" t="str">
        <x:f>TEXT(B719,"yyyy-mm")</x:f>
        <x:v>2023-08</x:v>
      </x:c>
      <x:c r="J719" s="8" t="n">
        <x:f>COUNTIFS($H$2:$H$1201,"&gt;"&amp;H719)+COUNTIFS($H$2:H719,H719)</x:f>
        <x:v>653</x:v>
      </x:c>
      <x:c r="K719" s="1"/>
      <x:c r="L719" s="1"/>
    </x:row>
    <x:row r="720" ht="22" customHeight="1">
      <x:c r="A720" s="8" t="n">
        <x:v>607</x:v>
      </x:c>
      <x:c r="B720" s="6" t="n">
        <x:v>45152</x:v>
      </x:c>
      <x:c r="C720" s="2" t="str">
        <x:v>Электроника</x:v>
      </x:c>
      <x:c r="D720" s="2" t="str">
        <x:v>Ноутбук</x:v>
      </x:c>
      <x:c r="E720" s="7" t="n">
        <x:v>142589.73</x:v>
      </x:c>
      <x:c r="F720" s="9" t="n">
        <x:v>6</x:v>
      </x:c>
      <x:c r="G720" s="2" t="str">
        <x:v>Новосибирск</x:v>
      </x:c>
      <x:c r="H720" s="7" t="n">
        <x:f>E720*F720</x:f>
        <x:v>855538.3800000001</x:v>
      </x:c>
      <x:c r="I720" s="2" t="str">
        <x:f>TEXT(B720,"yyyy-mm")</x:f>
        <x:v>2023-08</x:v>
      </x:c>
      <x:c r="J720" s="8" t="n">
        <x:f>COUNTIFS($H$2:$H$1201,"&gt;"&amp;H720)+COUNTIFS($H$2:H720,H720)</x:f>
        <x:v>161</x:v>
      </x:c>
      <x:c r="K720" s="1"/>
      <x:c r="L720" s="1"/>
    </x:row>
    <x:row r="721" ht="22" customHeight="1">
      <x:c r="A721" s="8" t="n">
        <x:v>863</x:v>
      </x:c>
      <x:c r="B721" s="6" t="n">
        <x:v>45152</x:v>
      </x:c>
      <x:c r="C721" s="2" t="str">
        <x:v>Товары для дома</x:v>
      </x:c>
      <x:c r="D721" s="2" t="str">
        <x:v>Плед</x:v>
      </x:c>
      <x:c r="E721" s="7" t="n">
        <x:v>1092.72</x:v>
      </x:c>
      <x:c r="F721" s="9" t="n">
        <x:v>5</x:v>
      </x:c>
      <x:c r="G721" s="2" t="str">
        <x:v>Казань</x:v>
      </x:c>
      <x:c r="H721" s="7" t="n">
        <x:f>E721*F721</x:f>
        <x:v>5463.6</x:v>
      </x:c>
      <x:c r="I721" s="2" t="str">
        <x:f>TEXT(B721,"yyyy-mm")</x:f>
        <x:v>2023-08</x:v>
      </x:c>
      <x:c r="J721" s="8" t="n">
        <x:f>COUNTIFS($H$2:$H$1201,"&gt;"&amp;H721)+COUNTIFS($H$2:H721,H721)</x:f>
        <x:v>1190</x:v>
      </x:c>
      <x:c r="K721" s="1"/>
      <x:c r="L721" s="1"/>
    </x:row>
    <x:row r="722" ht="22" customHeight="1">
      <x:c r="A722" s="8" t="n">
        <x:v>876</x:v>
      </x:c>
      <x:c r="B722" s="6" t="n">
        <x:v>45152</x:v>
      </x:c>
      <x:c r="C722" s="2" t="str">
        <x:v>Товары для дома</x:v>
      </x:c>
      <x:c r="D722" s="2" t="str">
        <x:v>Кружка</x:v>
      </x:c>
      <x:c r="E722" s="7" t="n">
        <x:v>13457.71</x:v>
      </x:c>
      <x:c r="F722" s="9" t="n">
        <x:v>1</x:v>
      </x:c>
      <x:c r="G722" s="2" t="str">
        <x:v>Санкт‑Петербург</x:v>
      </x:c>
      <x:c r="H722" s="7" t="n">
        <x:f>E722*F722</x:f>
        <x:v>13457.71</x:v>
      </x:c>
      <x:c r="I722" s="2" t="str">
        <x:f>TEXT(B722,"yyyy-mm")</x:f>
        <x:v>2023-08</x:v>
      </x:c>
      <x:c r="J722" s="8" t="n">
        <x:f>COUNTIFS($H$2:$H$1201,"&gt;"&amp;H722)+COUNTIFS($H$2:H722,H722)</x:f>
        <x:v>1172</x:v>
      </x:c>
      <x:c r="K722" s="1"/>
      <x:c r="L722" s="1"/>
    </x:row>
    <x:row r="723" ht="22" customHeight="1">
      <x:c r="A723" s="8" t="n">
        <x:v>326</x:v>
      </x:c>
      <x:c r="B723" s="6" t="n">
        <x:v>45153</x:v>
      </x:c>
      <x:c r="C723" s="2" t="str">
        <x:v>Товары для дома</x:v>
      </x:c>
      <x:c r="D723" s="2" t="str">
        <x:v>Подушка</x:v>
      </x:c>
      <x:c r="E723" s="7" t="n">
        <x:v>62993.55</x:v>
      </x:c>
      <x:c r="F723" s="9" t="n">
        <x:v>2</x:v>
      </x:c>
      <x:c r="G723" s="2" t="str">
        <x:v>Санкт‑Петербург</x:v>
      </x:c>
      <x:c r="H723" s="7" t="n">
        <x:f>E723*F723</x:f>
        <x:v>125987.1</x:v>
      </x:c>
      <x:c r="I723" s="2" t="str">
        <x:f>TEXT(B723,"yyyy-mm")</x:f>
        <x:v>2023-08</x:v>
      </x:c>
      <x:c r="J723" s="8" t="n">
        <x:f>COUNTIFS($H$2:$H$1201,"&gt;"&amp;H723)+COUNTIFS($H$2:H723,H723)</x:f>
        <x:v>913</x:v>
      </x:c>
      <x:c r="K723" s="1"/>
      <x:c r="L723" s="1"/>
    </x:row>
    <x:row r="724" ht="22" customHeight="1">
      <x:c r="A724" s="8" t="n">
        <x:v>475</x:v>
      </x:c>
      <x:c r="B724" s="6" t="n">
        <x:v>45153</x:v>
      </x:c>
      <x:c r="C724" s="2" t="str">
        <x:v>Электроника</x:v>
      </x:c>
      <x:c r="D724" s="2" t="str">
        <x:v>Смартфон</x:v>
      </x:c>
      <x:c r="E724" s="7" t="n">
        <x:v>19754.31</x:v>
      </x:c>
      <x:c r="F724" s="9" t="n">
        <x:v>9</x:v>
      </x:c>
      <x:c r="G724" s="2" t="str">
        <x:v>Москва</x:v>
      </x:c>
      <x:c r="H724" s="7" t="n">
        <x:f>E724*F724</x:f>
        <x:v>177788.79</x:v>
      </x:c>
      <x:c r="I724" s="2" t="str">
        <x:f>TEXT(B724,"yyyy-mm")</x:f>
        <x:v>2023-08</x:v>
      </x:c>
      <x:c r="J724" s="8" t="n">
        <x:f>COUNTIFS($H$2:$H$1201,"&gt;"&amp;H724)+COUNTIFS($H$2:H724,H724)</x:f>
        <x:v>814</x:v>
      </x:c>
      <x:c r="K724" s="1"/>
      <x:c r="L724" s="1"/>
    </x:row>
    <x:row r="725" ht="22" customHeight="1">
      <x:c r="A725" s="8" t="n">
        <x:v>918</x:v>
      </x:c>
      <x:c r="B725" s="6" t="n">
        <x:v>45153</x:v>
      </x:c>
      <x:c r="C725" s="2" t="str">
        <x:v>Продукты</x:v>
      </x:c>
      <x:c r="D725" s="2" t="str">
        <x:v>Кофе</x:v>
      </x:c>
      <x:c r="E725" s="7" t="n">
        <x:v>97187.55</x:v>
      </x:c>
      <x:c r="F725" s="9" t="n">
        <x:v>4</x:v>
      </x:c>
      <x:c r="G725" s="2" t="str">
        <x:v>Новосибирск</x:v>
      </x:c>
      <x:c r="H725" s="7" t="n">
        <x:f>E725*F725</x:f>
        <x:v>388750.2</x:v>
      </x:c>
      <x:c r="I725" s="2" t="str">
        <x:f>TEXT(B725,"yyyy-mm")</x:f>
        <x:v>2023-08</x:v>
      </x:c>
      <x:c r="J725" s="8" t="n">
        <x:f>COUNTIFS($H$2:$H$1201,"&gt;"&amp;H725)+COUNTIFS($H$2:H725,H725)</x:f>
        <x:v>538</x:v>
      </x:c>
      <x:c r="K725" s="1"/>
      <x:c r="L725" s="1"/>
    </x:row>
    <x:row r="726" ht="22" customHeight="1">
      <x:c r="A726" s="8" t="n">
        <x:v>996</x:v>
      </x:c>
      <x:c r="B726" s="6" t="n">
        <x:v>45153</x:v>
      </x:c>
      <x:c r="C726" s="2" t="str">
        <x:v>Электроника</x:v>
      </x:c>
      <x:c r="D726" s="2" t="str">
        <x:v>Смартфон</x:v>
      </x:c>
      <x:c r="E726" s="7" t="n">
        <x:v>51996.87</x:v>
      </x:c>
      <x:c r="F726" s="9" t="n">
        <x:v>7</x:v>
      </x:c>
      <x:c r="G726" s="2" t="str">
        <x:v>Санкт‑Петербург</x:v>
      </x:c>
      <x:c r="H726" s="7" t="n">
        <x:f>E726*F726</x:f>
        <x:v>363978.09</x:v>
      </x:c>
      <x:c r="I726" s="2" t="str">
        <x:f>TEXT(B726,"yyyy-mm")</x:f>
        <x:v>2023-08</x:v>
      </x:c>
      <x:c r="J726" s="8" t="n">
        <x:f>COUNTIFS($H$2:$H$1201,"&gt;"&amp;H726)+COUNTIFS($H$2:H726,H726)</x:f>
        <x:v>567</x:v>
      </x:c>
      <x:c r="K726" s="1"/>
      <x:c r="L726" s="1"/>
    </x:row>
    <x:row r="727" ht="22" customHeight="1">
      <x:c r="A727" s="8" t="n">
        <x:v>353</x:v>
      </x:c>
      <x:c r="B727" s="6" t="n">
        <x:v>45154</x:v>
      </x:c>
      <x:c r="C727" s="2" t="str">
        <x:v>Одежда</x:v>
      </x:c>
      <x:c r="D727" s="2" t="str">
        <x:v>Футболка</x:v>
      </x:c>
      <x:c r="E727" s="7" t="n">
        <x:v>38571.1</x:v>
      </x:c>
      <x:c r="F727" s="9" t="n">
        <x:v>9</x:v>
      </x:c>
      <x:c r="G727" s="2" t="str">
        <x:v>Новосибирск</x:v>
      </x:c>
      <x:c r="H727" s="7" t="n">
        <x:f>E727*F727</x:f>
        <x:v>347139.89999999997</x:v>
      </x:c>
      <x:c r="I727" s="2" t="str">
        <x:f>TEXT(B727,"yyyy-mm")</x:f>
        <x:v>2023-08</x:v>
      </x:c>
      <x:c r="J727" s="8" t="n">
        <x:f>COUNTIFS($H$2:$H$1201,"&gt;"&amp;H727)+COUNTIFS($H$2:H727,H727)</x:f>
        <x:v>591</x:v>
      </x:c>
      <x:c r="K727" s="1"/>
      <x:c r="L727" s="1"/>
    </x:row>
    <x:row r="728" ht="22" customHeight="1">
      <x:c r="A728" s="8" t="n">
        <x:v>528</x:v>
      </x:c>
      <x:c r="B728" s="6" t="n">
        <x:v>45154</x:v>
      </x:c>
      <x:c r="C728" s="2" t="str">
        <x:v>Электроника</x:v>
      </x:c>
      <x:c r="D728" s="2" t="str">
        <x:v>Смартфон</x:v>
      </x:c>
      <x:c r="E728" s="7" t="n">
        <x:v>49640.22</x:v>
      </x:c>
      <x:c r="F728" s="9" t="n">
        <x:v>1</x:v>
      </x:c>
      <x:c r="G728" s="2" t="str">
        <x:v>Санкт‑Петербург</x:v>
      </x:c>
      <x:c r="H728" s="7" t="n">
        <x:f>E728*F728</x:f>
        <x:v>49640.22</x:v>
      </x:c>
      <x:c r="I728" s="2" t="str">
        <x:f>TEXT(B728,"yyyy-mm")</x:f>
        <x:v>2023-08</x:v>
      </x:c>
      <x:c r="J728" s="8" t="n">
        <x:f>COUNTIFS($H$2:$H$1201,"&gt;"&amp;H728)+COUNTIFS($H$2:H728,H728)</x:f>
        <x:v>1087</x:v>
      </x:c>
      <x:c r="K728" s="1"/>
      <x:c r="L728" s="1"/>
    </x:row>
    <x:row r="729" ht="22" customHeight="1">
      <x:c r="A729" s="8" t="n">
        <x:v>974</x:v>
      </x:c>
      <x:c r="B729" s="6" t="n">
        <x:v>45154</x:v>
      </x:c>
      <x:c r="C729" s="2" t="str">
        <x:v>Продукты</x:v>
      </x:c>
      <x:c r="D729" s="2" t="str">
        <x:v>Хлеб</x:v>
      </x:c>
      <x:c r="E729" s="7" t="n">
        <x:v>63086.3</x:v>
      </x:c>
      <x:c r="F729" s="9" t="n">
        <x:v>5</x:v>
      </x:c>
      <x:c r="G729" s="2" t="str">
        <x:v>Москва</x:v>
      </x:c>
      <x:c r="H729" s="7" t="n">
        <x:f>E729*F729</x:f>
        <x:v>315431.5</x:v>
      </x:c>
      <x:c r="I729" s="2" t="str">
        <x:f>TEXT(B729,"yyyy-mm")</x:f>
        <x:v>2023-08</x:v>
      </x:c>
      <x:c r="J729" s="8" t="n">
        <x:f>COUNTIFS($H$2:$H$1201,"&gt;"&amp;H729)+COUNTIFS($H$2:H729,H729)</x:f>
        <x:v>620</x:v>
      </x:c>
      <x:c r="K729" s="1"/>
      <x:c r="L729" s="1"/>
    </x:row>
    <x:row r="730" ht="22" customHeight="1">
      <x:c r="A730" s="8" t="n">
        <x:v>1120</x:v>
      </x:c>
      <x:c r="B730" s="6" t="n">
        <x:v>45154</x:v>
      </x:c>
      <x:c r="C730" s="2" t="str">
        <x:v>Продукты</x:v>
      </x:c>
      <x:c r="D730" s="2" t="str">
        <x:v>Молоко</x:v>
      </x:c>
      <x:c r="E730" s="7" t="n">
        <x:v>44670.64</x:v>
      </x:c>
      <x:c r="F730" s="9" t="n">
        <x:v>7</x:v>
      </x:c>
      <x:c r="G730" s="2" t="str">
        <x:v>Новосибирск</x:v>
      </x:c>
      <x:c r="H730" s="7" t="n">
        <x:f>E730*F730</x:f>
        <x:v>312694.48</x:v>
      </x:c>
      <x:c r="I730" s="2" t="str">
        <x:f>TEXT(B730,"yyyy-mm")</x:f>
        <x:v>2023-08</x:v>
      </x:c>
      <x:c r="J730" s="8" t="n">
        <x:f>COUNTIFS($H$2:$H$1201,"&gt;"&amp;H730)+COUNTIFS($H$2:H730,H730)</x:f>
        <x:v>623</x:v>
      </x:c>
      <x:c r="K730" s="1"/>
      <x:c r="L730" s="1"/>
    </x:row>
    <x:row r="731" ht="22" customHeight="1">
      <x:c r="A731" s="8" t="n">
        <x:v>965</x:v>
      </x:c>
      <x:c r="B731" s="6" t="n">
        <x:v>45155</x:v>
      </x:c>
      <x:c r="C731" s="2" t="str">
        <x:v>Продукты</x:v>
      </x:c>
      <x:c r="D731" s="2" t="str">
        <x:v>Кофе</x:v>
      </x:c>
      <x:c r="E731" s="7" t="n">
        <x:v>107005.99</x:v>
      </x:c>
      <x:c r="F731" s="9" t="n">
        <x:v>8</x:v>
      </x:c>
      <x:c r="G731" s="2" t="str">
        <x:v>Казань</x:v>
      </x:c>
      <x:c r="H731" s="7" t="n">
        <x:f>E731*F731</x:f>
        <x:v>856047.92</x:v>
      </x:c>
      <x:c r="I731" s="2" t="str">
        <x:f>TEXT(B731,"yyyy-mm")</x:f>
        <x:v>2023-08</x:v>
      </x:c>
      <x:c r="J731" s="8" t="n">
        <x:f>COUNTIFS($H$2:$H$1201,"&gt;"&amp;H731)+COUNTIFS($H$2:H731,H731)</x:f>
        <x:v>160</x:v>
      </x:c>
      <x:c r="K731" s="1"/>
      <x:c r="L731" s="1"/>
    </x:row>
    <x:row r="732" ht="22" customHeight="1">
      <x:c r="A732" s="8" t="n">
        <x:v>978</x:v>
      </x:c>
      <x:c r="B732" s="6" t="n">
        <x:v>45155</x:v>
      </x:c>
      <x:c r="C732" s="2" t="str">
        <x:v>Одежда</x:v>
      </x:c>
      <x:c r="D732" s="2" t="str">
        <x:v>Футболка</x:v>
      </x:c>
      <x:c r="E732" s="7" t="n">
        <x:v>12125.3</x:v>
      </x:c>
      <x:c r="F732" s="9" t="n">
        <x:v>7</x:v>
      </x:c>
      <x:c r="G732" s="2" t="str">
        <x:v>Санкт‑Петербург</x:v>
      </x:c>
      <x:c r="H732" s="7" t="n">
        <x:f>E732*F732</x:f>
        <x:v>84877.09999999999</x:v>
      </x:c>
      <x:c r="I732" s="2" t="str">
        <x:f>TEXT(B732,"yyyy-mm")</x:f>
        <x:v>2023-08</x:v>
      </x:c>
      <x:c r="J732" s="8" t="n">
        <x:f>COUNTIFS($H$2:$H$1201,"&gt;"&amp;H732)+COUNTIFS($H$2:H732,H732)</x:f>
        <x:v>1005</x:v>
      </x:c>
      <x:c r="K732" s="1"/>
      <x:c r="L732" s="1"/>
    </x:row>
    <x:row r="733" ht="22" customHeight="1">
      <x:c r="A733" s="8" t="n">
        <x:v>253</x:v>
      </x:c>
      <x:c r="B733" s="6" t="n">
        <x:v>45156</x:v>
      </x:c>
      <x:c r="C733" s="2" t="str">
        <x:v>Продукты</x:v>
      </x:c>
      <x:c r="D733" s="2" t="str">
        <x:v>Молоко</x:v>
      </x:c>
      <x:c r="E733" s="7" t="n">
        <x:v>119388.94</x:v>
      </x:c>
      <x:c r="F733" s="9" t="n">
        <x:v>4</x:v>
      </x:c>
      <x:c r="G733" s="2" t="str">
        <x:v>Московская область</x:v>
      </x:c>
      <x:c r="H733" s="7" t="n">
        <x:f>E733*F733</x:f>
        <x:v>477555.76</x:v>
      </x:c>
      <x:c r="I733" s="2" t="str">
        <x:f>TEXT(B733,"yyyy-mm")</x:f>
        <x:v>2023-08</x:v>
      </x:c>
      <x:c r="J733" s="8" t="n">
        <x:f>COUNTIFS($H$2:$H$1201,"&gt;"&amp;H733)+COUNTIFS($H$2:H733,H733)</x:f>
        <x:v>428</x:v>
      </x:c>
      <x:c r="K733" s="1"/>
      <x:c r="L733" s="1"/>
    </x:row>
    <x:row r="734" ht="22" customHeight="1">
      <x:c r="A734" s="8" t="n">
        <x:v>405</x:v>
      </x:c>
      <x:c r="B734" s="6" t="n">
        <x:v>45156</x:v>
      </x:c>
      <x:c r="C734" s="2" t="str">
        <x:v>Продукты</x:v>
      </x:c>
      <x:c r="D734" s="2" t="str">
        <x:v>Шоколад</x:v>
      </x:c>
      <x:c r="E734" s="7" t="n">
        <x:v>77148.31</x:v>
      </x:c>
      <x:c r="F734" s="9" t="n">
        <x:v>7</x:v>
      </x:c>
      <x:c r="G734" s="2" t="str">
        <x:v>Казань</x:v>
      </x:c>
      <x:c r="H734" s="7" t="n">
        <x:f>E734*F734</x:f>
        <x:v>540038.1699999999</x:v>
      </x:c>
      <x:c r="I734" s="2" t="str">
        <x:f>TEXT(B734,"yyyy-mm")</x:f>
        <x:v>2023-08</x:v>
      </x:c>
      <x:c r="J734" s="8" t="n">
        <x:f>COUNTIFS($H$2:$H$1201,"&gt;"&amp;H734)+COUNTIFS($H$2:H734,H734)</x:f>
        <x:v>377</x:v>
      </x:c>
      <x:c r="K734" s="1"/>
      <x:c r="L734" s="1"/>
    </x:row>
    <x:row r="735" ht="22" customHeight="1">
      <x:c r="A735" s="8" t="n">
        <x:v>125</x:v>
      </x:c>
      <x:c r="B735" s="6" t="n">
        <x:v>45157</x:v>
      </x:c>
      <x:c r="C735" s="2" t="str">
        <x:v>Продукты</x:v>
      </x:c>
      <x:c r="D735" s="2" t="str">
        <x:v>Кофе</x:v>
      </x:c>
      <x:c r="E735" s="7" t="n">
        <x:v>101647.85</x:v>
      </x:c>
      <x:c r="F735" s="9" t="n">
        <x:v>7</x:v>
      </x:c>
      <x:c r="G735" s="2" t="str">
        <x:v>Санкт‑Петербург</x:v>
      </x:c>
      <x:c r="H735" s="7" t="n">
        <x:f>E735*F735</x:f>
        <x:v>711534.9500000001</x:v>
      </x:c>
      <x:c r="I735" s="2" t="str">
        <x:f>TEXT(B735,"yyyy-mm")</x:f>
        <x:v>2023-08</x:v>
      </x:c>
      <x:c r="J735" s="8" t="n">
        <x:f>COUNTIFS($H$2:$H$1201,"&gt;"&amp;H735)+COUNTIFS($H$2:H735,H735)</x:f>
        <x:v>257</x:v>
      </x:c>
      <x:c r="K735" s="1"/>
      <x:c r="L735" s="1"/>
    </x:row>
    <x:row r="736" ht="22" customHeight="1">
      <x:c r="A736" s="8" t="n">
        <x:v>323</x:v>
      </x:c>
      <x:c r="B736" s="6" t="n">
        <x:v>45157</x:v>
      </x:c>
      <x:c r="C736" s="2" t="str">
        <x:v>Продукты</x:v>
      </x:c>
      <x:c r="D736" s="2" t="str">
        <x:v>Молоко</x:v>
      </x:c>
      <x:c r="E736" s="7" t="n">
        <x:v>58759.57</x:v>
      </x:c>
      <x:c r="F736" s="9" t="n">
        <x:v>9</x:v>
      </x:c>
      <x:c r="G736" s="2" t="str">
        <x:v>Казань</x:v>
      </x:c>
      <x:c r="H736" s="7" t="n">
        <x:f>E736*F736</x:f>
        <x:v>528836.13</x:v>
      </x:c>
      <x:c r="I736" s="2" t="str">
        <x:f>TEXT(B736,"yyyy-mm")</x:f>
        <x:v>2023-08</x:v>
      </x:c>
      <x:c r="J736" s="8" t="n">
        <x:f>COUNTIFS($H$2:$H$1201,"&gt;"&amp;H736)+COUNTIFS($H$2:H736,H736)</x:f>
        <x:v>387</x:v>
      </x:c>
      <x:c r="K736" s="1"/>
      <x:c r="L736" s="1"/>
    </x:row>
    <x:row r="737" ht="22" customHeight="1">
      <x:c r="A737" s="8" t="n">
        <x:v>117</x:v>
      </x:c>
      <x:c r="B737" s="6" t="n">
        <x:v>45158</x:v>
      </x:c>
      <x:c r="C737" s="2" t="str">
        <x:v>Одежда</x:v>
      </x:c>
      <x:c r="D737" s="2" t="str">
        <x:v>Футболка</x:v>
      </x:c>
      <x:c r="E737" s="7" t="n">
        <x:v>24566.59</x:v>
      </x:c>
      <x:c r="F737" s="9" t="n">
        <x:v>6</x:v>
      </x:c>
      <x:c r="G737" s="2" t="str">
        <x:v>Московская область</x:v>
      </x:c>
      <x:c r="H737" s="7" t="n">
        <x:f>E737*F737</x:f>
        <x:v>147399.54</x:v>
      </x:c>
      <x:c r="I737" s="2" t="str">
        <x:f>TEXT(B737,"yyyy-mm")</x:f>
        <x:v>2023-08</x:v>
      </x:c>
      <x:c r="J737" s="8" t="n">
        <x:f>COUNTIFS($H$2:$H$1201,"&gt;"&amp;H737)+COUNTIFS($H$2:H737,H737)</x:f>
        <x:v>858</x:v>
      </x:c>
      <x:c r="K737" s="1"/>
      <x:c r="L737" s="1"/>
    </x:row>
    <x:row r="738" ht="22" customHeight="1">
      <x:c r="A738" s="8" t="n">
        <x:v>168</x:v>
      </x:c>
      <x:c r="B738" s="6" t="n">
        <x:v>45158</x:v>
      </x:c>
      <x:c r="C738" s="2" t="str">
        <x:v>Продукты</x:v>
      </x:c>
      <x:c r="D738" s="2" t="str">
        <x:v>Шоколад</x:v>
      </x:c>
      <x:c r="E738" s="7" t="n">
        <x:v>144445.78</x:v>
      </x:c>
      <x:c r="F738" s="9" t="n">
        <x:v>9</x:v>
      </x:c>
      <x:c r="G738" s="2" t="str">
        <x:v>Екатеринбург</x:v>
      </x:c>
      <x:c r="H738" s="7" t="n">
        <x:f>E738*F738</x:f>
        <x:v>1300012.02</x:v>
      </x:c>
      <x:c r="I738" s="2" t="str">
        <x:f>TEXT(B738,"yyyy-mm")</x:f>
        <x:v>2023-08</x:v>
      </x:c>
      <x:c r="J738" s="8" t="n">
        <x:f>COUNTIFS($H$2:$H$1201,"&gt;"&amp;H738)+COUNTIFS($H$2:H738,H738)</x:f>
        <x:v>18</x:v>
      </x:c>
      <x:c r="K738" s="1"/>
      <x:c r="L738" s="1"/>
    </x:row>
    <x:row r="739" ht="22" customHeight="1">
      <x:c r="A739" s="8" t="n">
        <x:v>329</x:v>
      </x:c>
      <x:c r="B739" s="6" t="n">
        <x:v>45158</x:v>
      </x:c>
      <x:c r="C739" s="2" t="str">
        <x:v>Продукты</x:v>
      </x:c>
      <x:c r="D739" s="2" t="str">
        <x:v>Молоко</x:v>
      </x:c>
      <x:c r="E739" s="7" t="n">
        <x:v>36722.57</x:v>
      </x:c>
      <x:c r="F739" s="9" t="n">
        <x:v>8</x:v>
      </x:c>
      <x:c r="G739" s="2" t="str">
        <x:v>Новосибирск</x:v>
      </x:c>
      <x:c r="H739" s="7" t="n">
        <x:f>E739*F739</x:f>
        <x:v>293780.56</x:v>
      </x:c>
      <x:c r="I739" s="2" t="str">
        <x:f>TEXT(B739,"yyyy-mm")</x:f>
        <x:v>2023-08</x:v>
      </x:c>
      <x:c r="J739" s="8" t="n">
        <x:f>COUNTIFS($H$2:$H$1201,"&gt;"&amp;H739)+COUNTIFS($H$2:H739,H739)</x:f>
        <x:v>640</x:v>
      </x:c>
      <x:c r="K739" s="1"/>
      <x:c r="L739" s="1"/>
    </x:row>
    <x:row r="740" ht="22" customHeight="1">
      <x:c r="A740" s="8" t="n">
        <x:v>563</x:v>
      </x:c>
      <x:c r="B740" s="6" t="n">
        <x:v>45158</x:v>
      </x:c>
      <x:c r="C740" s="2" t="str">
        <x:v>Одежда</x:v>
      </x:c>
      <x:c r="D740" s="2" t="str">
        <x:v>Футболка</x:v>
      </x:c>
      <x:c r="E740" s="7" t="n">
        <x:v>104343.92</x:v>
      </x:c>
      <x:c r="F740" s="9" t="n">
        <x:v>4</x:v>
      </x:c>
      <x:c r="G740" s="2" t="str">
        <x:v>Санкт‑Петербург</x:v>
      </x:c>
      <x:c r="H740" s="7" t="n">
        <x:f>E740*F740</x:f>
        <x:v>417375.68</x:v>
      </x:c>
      <x:c r="I740" s="2" t="str">
        <x:f>TEXT(B740,"yyyy-mm")</x:f>
        <x:v>2023-08</x:v>
      </x:c>
      <x:c r="J740" s="8" t="n">
        <x:f>COUNTIFS($H$2:$H$1201,"&gt;"&amp;H740)+COUNTIFS($H$2:H740,H740)</x:f>
        <x:v>497</x:v>
      </x:c>
      <x:c r="K740" s="1"/>
      <x:c r="L740" s="1"/>
    </x:row>
    <x:row r="741" ht="22" customHeight="1">
      <x:c r="A741" s="8" t="n">
        <x:v>402</x:v>
      </x:c>
      <x:c r="B741" s="6" t="n">
        <x:v>45159</x:v>
      </x:c>
      <x:c r="C741" s="2" t="str">
        <x:v>Одежда</x:v>
      </x:c>
      <x:c r="D741" s="2" t="str">
        <x:v>Куртка</x:v>
      </x:c>
      <x:c r="E741" s="7" t="n">
        <x:v>76320.68</x:v>
      </x:c>
      <x:c r="F741" s="9" t="n">
        <x:v>9</x:v>
      </x:c>
      <x:c r="G741" s="2" t="str">
        <x:v>Екатеринбург</x:v>
      </x:c>
      <x:c r="H741" s="7" t="n">
        <x:f>E741*F741</x:f>
        <x:v>686886.1199999999</x:v>
      </x:c>
      <x:c r="I741" s="2" t="str">
        <x:f>TEXT(B741,"yyyy-mm")</x:f>
        <x:v>2023-08</x:v>
      </x:c>
      <x:c r="J741" s="8" t="n">
        <x:f>COUNTIFS($H$2:$H$1201,"&gt;"&amp;H741)+COUNTIFS($H$2:H741,H741)</x:f>
        <x:v>273</x:v>
      </x:c>
      <x:c r="K741" s="1"/>
      <x:c r="L741" s="1"/>
    </x:row>
    <x:row r="742" ht="22" customHeight="1">
      <x:c r="A742" s="8" t="n">
        <x:v>486</x:v>
      </x:c>
      <x:c r="B742" s="6" t="n">
        <x:v>45159</x:v>
      </x:c>
      <x:c r="C742" s="2" t="str">
        <x:v>Продукты</x:v>
      </x:c>
      <x:c r="D742" s="2" t="str">
        <x:v>Хлеб</x:v>
      </x:c>
      <x:c r="E742" s="7" t="n">
        <x:v>41746.3</x:v>
      </x:c>
      <x:c r="F742" s="9" t="n">
        <x:v>6</x:v>
      </x:c>
      <x:c r="G742" s="2" t="str">
        <x:v>Москва</x:v>
      </x:c>
      <x:c r="H742" s="7" t="n">
        <x:f>E742*F742</x:f>
        <x:v>250477.80000000002</x:v>
      </x:c>
      <x:c r="I742" s="2" t="str">
        <x:f>TEXT(B742,"yyyy-mm")</x:f>
        <x:v>2023-08</x:v>
      </x:c>
      <x:c r="J742" s="8" t="n">
        <x:f>COUNTIFS($H$2:$H$1201,"&gt;"&amp;H742)+COUNTIFS($H$2:H742,H742)</x:f>
        <x:v>704</x:v>
      </x:c>
      <x:c r="K742" s="1"/>
      <x:c r="L742" s="1"/>
    </x:row>
    <x:row r="743" ht="22" customHeight="1">
      <x:c r="A743" s="8" t="n">
        <x:v>37</x:v>
      </x:c>
      <x:c r="B743" s="6" t="n">
        <x:v>45160</x:v>
      </x:c>
      <x:c r="C743" s="2" t="str">
        <x:v>Одежда</x:v>
      </x:c>
      <x:c r="D743" s="2" t="str">
        <x:v>Футболка</x:v>
      </x:c>
      <x:c r="E743" s="7" t="n">
        <x:v>72725.28</x:v>
      </x:c>
      <x:c r="F743" s="9" t="n">
        <x:v>2</x:v>
      </x:c>
      <x:c r="G743" s="2" t="str">
        <x:v>Екатеринбург</x:v>
      </x:c>
      <x:c r="H743" s="7" t="n">
        <x:f>E743*F743</x:f>
        <x:v>145450.56</x:v>
      </x:c>
      <x:c r="I743" s="2" t="str">
        <x:f>TEXT(B743,"yyyy-mm")</x:f>
        <x:v>2023-08</x:v>
      </x:c>
      <x:c r="J743" s="8" t="n">
        <x:f>COUNTIFS($H$2:$H$1201,"&gt;"&amp;H743)+COUNTIFS($H$2:H743,H743)</x:f>
        <x:v>865</x:v>
      </x:c>
      <x:c r="K743" s="1"/>
      <x:c r="L743" s="1"/>
    </x:row>
    <x:row r="744" ht="22" customHeight="1">
      <x:c r="A744" s="8" t="n">
        <x:v>47</x:v>
      </x:c>
      <x:c r="B744" s="6" t="n">
        <x:v>45160</x:v>
      </x:c>
      <x:c r="C744" s="2" t="str">
        <x:v>Товары для дома</x:v>
      </x:c>
      <x:c r="D744" s="2" t="str">
        <x:v>Кружка</x:v>
      </x:c>
      <x:c r="E744" s="7" t="n">
        <x:v>106444.09</x:v>
      </x:c>
      <x:c r="F744" s="9" t="n">
        <x:v>6</x:v>
      </x:c>
      <x:c r="G744" s="2" t="str">
        <x:v>Новосибирск</x:v>
      </x:c>
      <x:c r="H744" s="7" t="n">
        <x:f>E744*F744</x:f>
        <x:v>638664.54</x:v>
      </x:c>
      <x:c r="I744" s="2" t="str">
        <x:f>TEXT(B744,"yyyy-mm")</x:f>
        <x:v>2023-08</x:v>
      </x:c>
      <x:c r="J744" s="8" t="n">
        <x:f>COUNTIFS($H$2:$H$1201,"&gt;"&amp;H744)+COUNTIFS($H$2:H744,H744)</x:f>
        <x:v>300</x:v>
      </x:c>
      <x:c r="K744" s="1"/>
      <x:c r="L744" s="1"/>
    </x:row>
    <x:row r="745" ht="22" customHeight="1">
      <x:c r="A745" s="8" t="n">
        <x:v>236</x:v>
      </x:c>
      <x:c r="B745" s="6" t="n">
        <x:v>45160</x:v>
      </x:c>
      <x:c r="C745" s="2" t="str">
        <x:v>Продукты</x:v>
      </x:c>
      <x:c r="D745" s="2" t="str">
        <x:v>Кофе</x:v>
      </x:c>
      <x:c r="E745" s="7" t="n">
        <x:v>105983.97</x:v>
      </x:c>
      <x:c r="F745" s="9" t="n">
        <x:v>1</x:v>
      </x:c>
      <x:c r="G745" s="2" t="str">
        <x:v>Казань</x:v>
      </x:c>
      <x:c r="H745" s="7" t="n">
        <x:f>E745*F745</x:f>
        <x:v>105983.97</x:v>
      </x:c>
      <x:c r="I745" s="2" t="str">
        <x:f>TEXT(B745,"yyyy-mm")</x:f>
        <x:v>2023-08</x:v>
      </x:c>
      <x:c r="J745" s="8" t="n">
        <x:f>COUNTIFS($H$2:$H$1201,"&gt;"&amp;H745)+COUNTIFS($H$2:H745,H745)</x:f>
        <x:v>958</x:v>
      </x:c>
      <x:c r="K745" s="1"/>
      <x:c r="L745" s="1"/>
    </x:row>
    <x:row r="746" ht="22" customHeight="1">
      <x:c r="A746" s="8" t="n">
        <x:v>626</x:v>
      </x:c>
      <x:c r="B746" s="6" t="n">
        <x:v>45161</x:v>
      </x:c>
      <x:c r="C746" s="2" t="str">
        <x:v>Продукты</x:v>
      </x:c>
      <x:c r="D746" s="2" t="str">
        <x:v>Кофе</x:v>
      </x:c>
      <x:c r="E746" s="7" t="n">
        <x:v>142876.91</x:v>
      </x:c>
      <x:c r="F746" s="9" t="n">
        <x:v>8</x:v>
      </x:c>
      <x:c r="G746" s="2" t="str">
        <x:v>Казань</x:v>
      </x:c>
      <x:c r="H746" s="7" t="n">
        <x:f>E746*F746</x:f>
        <x:v>1143015.28</x:v>
      </x:c>
      <x:c r="I746" s="2" t="str">
        <x:f>TEXT(B746,"yyyy-mm")</x:f>
        <x:v>2023-08</x:v>
      </x:c>
      <x:c r="J746" s="8" t="n">
        <x:f>COUNTIFS($H$2:$H$1201,"&gt;"&amp;H746)+COUNTIFS($H$2:H746,H746)</x:f>
        <x:v>49</x:v>
      </x:c>
      <x:c r="K746" s="1"/>
      <x:c r="L746" s="1"/>
    </x:row>
    <x:row r="747" ht="22" customHeight="1">
      <x:c r="A747" s="8" t="n">
        <x:v>669</x:v>
      </x:c>
      <x:c r="B747" s="6" t="n">
        <x:v>45161</x:v>
      </x:c>
      <x:c r="C747" s="2" t="str">
        <x:v>Товары для дома</x:v>
      </x:c>
      <x:c r="D747" s="2" t="str">
        <x:v>Подушка</x:v>
      </x:c>
      <x:c r="E747" s="7" t="n">
        <x:v>14693.78</x:v>
      </x:c>
      <x:c r="F747" s="9" t="n">
        <x:v>7</x:v>
      </x:c>
      <x:c r="G747" s="2" t="str">
        <x:v>Москва</x:v>
      </x:c>
      <x:c r="H747" s="7" t="n">
        <x:f>E747*F747</x:f>
        <x:v>102856.46</x:v>
      </x:c>
      <x:c r="I747" s="2" t="str">
        <x:f>TEXT(B747,"yyyy-mm")</x:f>
        <x:v>2023-08</x:v>
      </x:c>
      <x:c r="J747" s="8" t="n">
        <x:f>COUNTIFS($H$2:$H$1201,"&gt;"&amp;H747)+COUNTIFS($H$2:H747,H747)</x:f>
        <x:v>966</x:v>
      </x:c>
      <x:c r="K747" s="1"/>
      <x:c r="L747" s="1"/>
    </x:row>
    <x:row r="748" ht="22" customHeight="1">
      <x:c r="A748" s="8" t="n">
        <x:v>776</x:v>
      </x:c>
      <x:c r="B748" s="6" t="n">
        <x:v>45161</x:v>
      </x:c>
      <x:c r="C748" s="2" t="str">
        <x:v>Товары для дома</x:v>
      </x:c>
      <x:c r="D748" s="2" t="str">
        <x:v>Кружка</x:v>
      </x:c>
      <x:c r="E748" s="7" t="n">
        <x:v>68980.98</x:v>
      </x:c>
      <x:c r="F748" s="9" t="n">
        <x:v>6</x:v>
      </x:c>
      <x:c r="G748" s="2" t="str">
        <x:v>Московская область</x:v>
      </x:c>
      <x:c r="H748" s="7" t="n">
        <x:f>E748*F748</x:f>
        <x:v>413885.88</x:v>
      </x:c>
      <x:c r="I748" s="2" t="str">
        <x:f>TEXT(B748,"yyyy-mm")</x:f>
        <x:v>2023-08</x:v>
      </x:c>
      <x:c r="J748" s="8" t="n">
        <x:f>COUNTIFS($H$2:$H$1201,"&gt;"&amp;H748)+COUNTIFS($H$2:H748,H748)</x:f>
        <x:v>501</x:v>
      </x:c>
      <x:c r="K748" s="1"/>
      <x:c r="L748" s="1"/>
    </x:row>
    <x:row r="749" ht="22" customHeight="1">
      <x:c r="A749" s="8" t="n">
        <x:v>941</x:v>
      </x:c>
      <x:c r="B749" s="6" t="n">
        <x:v>45161</x:v>
      </x:c>
      <x:c r="C749" s="2" t="str">
        <x:v>Товары для дома</x:v>
      </x:c>
      <x:c r="D749" s="2" t="str">
        <x:v>Плед</x:v>
      </x:c>
      <x:c r="E749" s="7" t="n">
        <x:v>34164.02</x:v>
      </x:c>
      <x:c r="F749" s="9" t="n">
        <x:v>3</x:v>
      </x:c>
      <x:c r="G749" s="2" t="str">
        <x:v>Новосибирск</x:v>
      </x:c>
      <x:c r="H749" s="7" t="n">
        <x:f>E749*F749</x:f>
        <x:v>102492.06</x:v>
      </x:c>
      <x:c r="I749" s="2" t="str">
        <x:f>TEXT(B749,"yyyy-mm")</x:f>
        <x:v>2023-08</x:v>
      </x:c>
      <x:c r="J749" s="8" t="n">
        <x:f>COUNTIFS($H$2:$H$1201,"&gt;"&amp;H749)+COUNTIFS($H$2:H749,H749)</x:f>
        <x:v>967</x:v>
      </x:c>
      <x:c r="K749" s="1"/>
      <x:c r="L749" s="1"/>
    </x:row>
    <x:row r="750" ht="22" customHeight="1">
      <x:c r="A750" s="8" t="n">
        <x:v>434</x:v>
      </x:c>
      <x:c r="B750" s="6" t="n">
        <x:v>45162</x:v>
      </x:c>
      <x:c r="C750" s="2" t="str">
        <x:v>Продукты</x:v>
      </x:c>
      <x:c r="D750" s="2" t="str">
        <x:v>Кофе</x:v>
      </x:c>
      <x:c r="E750" s="7" t="n">
        <x:v>11716.83</x:v>
      </x:c>
      <x:c r="F750" s="9" t="n">
        <x:v>10</x:v>
      </x:c>
      <x:c r="G750" s="2" t="str">
        <x:v>Москва</x:v>
      </x:c>
      <x:c r="H750" s="7" t="n">
        <x:f>E750*F750</x:f>
        <x:v>117168.3</x:v>
      </x:c>
      <x:c r="I750" s="2" t="str">
        <x:f>TEXT(B750,"yyyy-mm")</x:f>
        <x:v>2023-08</x:v>
      </x:c>
      <x:c r="J750" s="8" t="n">
        <x:f>COUNTIFS($H$2:$H$1201,"&gt;"&amp;H750)+COUNTIFS($H$2:H750,H750)</x:f>
        <x:v>936</x:v>
      </x:c>
      <x:c r="K750" s="1"/>
      <x:c r="L750" s="1"/>
    </x:row>
    <x:row r="751" ht="22" customHeight="1">
      <x:c r="A751" s="8" t="n">
        <x:v>73</x:v>
      </x:c>
      <x:c r="B751" s="6" t="n">
        <x:v>45163</x:v>
      </x:c>
      <x:c r="C751" s="2" t="str">
        <x:v>Продукты</x:v>
      </x:c>
      <x:c r="D751" s="2" t="str">
        <x:v>Кофе</x:v>
      </x:c>
      <x:c r="E751" s="7" t="n">
        <x:v>54208.61</x:v>
      </x:c>
      <x:c r="F751" s="9" t="n">
        <x:v>6</x:v>
      </x:c>
      <x:c r="G751" s="2" t="str">
        <x:v>Казань</x:v>
      </x:c>
      <x:c r="H751" s="7" t="n">
        <x:f>E751*F751</x:f>
        <x:v>325251.66000000003</x:v>
      </x:c>
      <x:c r="I751" s="2" t="str">
        <x:f>TEXT(B751,"yyyy-mm")</x:f>
        <x:v>2023-08</x:v>
      </x:c>
      <x:c r="J751" s="8" t="n">
        <x:f>COUNTIFS($H$2:$H$1201,"&gt;"&amp;H751)+COUNTIFS($H$2:H751,H751)</x:f>
        <x:v>609</x:v>
      </x:c>
      <x:c r="K751" s="1"/>
      <x:c r="L751" s="1"/>
    </x:row>
    <x:row r="752" ht="22" customHeight="1">
      <x:c r="A752" s="8" t="n">
        <x:v>363</x:v>
      </x:c>
      <x:c r="B752" s="6" t="n">
        <x:v>45163</x:v>
      </x:c>
      <x:c r="C752" s="2" t="str">
        <x:v>Одежда</x:v>
      </x:c>
      <x:c r="D752" s="2" t="str">
        <x:v>Кроссовки</x:v>
      </x:c>
      <x:c r="E752" s="7" t="n">
        <x:v>40145.38</x:v>
      </x:c>
      <x:c r="F752" s="9" t="n">
        <x:v>6</x:v>
      </x:c>
      <x:c r="G752" s="2" t="str">
        <x:v>Санкт‑Петербург</x:v>
      </x:c>
      <x:c r="H752" s="7" t="n">
        <x:f>E752*F752</x:f>
        <x:v>240872.27999999997</x:v>
      </x:c>
      <x:c r="I752" s="2" t="str">
        <x:f>TEXT(B752,"yyyy-mm")</x:f>
        <x:v>2023-08</x:v>
      </x:c>
      <x:c r="J752" s="8" t="n">
        <x:f>COUNTIFS($H$2:$H$1201,"&gt;"&amp;H752)+COUNTIFS($H$2:H752,H752)</x:f>
        <x:v>719</x:v>
      </x:c>
      <x:c r="K752" s="1"/>
      <x:c r="L752" s="1"/>
    </x:row>
    <x:row r="753" ht="22" customHeight="1">
      <x:c r="A753" s="8" t="n">
        <x:v>184</x:v>
      </x:c>
      <x:c r="B753" s="6" t="n">
        <x:v>45164</x:v>
      </x:c>
      <x:c r="C753" s="2" t="str">
        <x:v>Продукты</x:v>
      </x:c>
      <x:c r="D753" s="2" t="str">
        <x:v>Кофе</x:v>
      </x:c>
      <x:c r="E753" s="7" t="n">
        <x:v>97867.96</x:v>
      </x:c>
      <x:c r="F753" s="9" t="n">
        <x:v>10</x:v>
      </x:c>
      <x:c r="G753" s="2" t="str">
        <x:v>Новосибирск</x:v>
      </x:c>
      <x:c r="H753" s="7" t="n">
        <x:f>E753*F753</x:f>
        <x:v>978679.6000000001</x:v>
      </x:c>
      <x:c r="I753" s="2" t="str">
        <x:f>TEXT(B753,"yyyy-mm")</x:f>
        <x:v>2023-08</x:v>
      </x:c>
      <x:c r="J753" s="8" t="n">
        <x:f>COUNTIFS($H$2:$H$1201,"&gt;"&amp;H753)+COUNTIFS($H$2:H753,H753)</x:f>
        <x:v>98</x:v>
      </x:c>
      <x:c r="K753" s="1"/>
      <x:c r="L753" s="1"/>
    </x:row>
    <x:row r="754" ht="22" customHeight="1">
      <x:c r="A754" s="8" t="n">
        <x:v>474</x:v>
      </x:c>
      <x:c r="B754" s="6" t="n">
        <x:v>45164</x:v>
      </x:c>
      <x:c r="C754" s="2" t="str">
        <x:v>Одежда</x:v>
      </x:c>
      <x:c r="D754" s="2" t="str">
        <x:v>Футболка</x:v>
      </x:c>
      <x:c r="E754" s="7" t="n">
        <x:v>106290.75</x:v>
      </x:c>
      <x:c r="F754" s="9" t="n">
        <x:v>3</x:v>
      </x:c>
      <x:c r="G754" s="2" t="str">
        <x:v>Санкт‑Петербург</x:v>
      </x:c>
      <x:c r="H754" s="7" t="n">
        <x:f>E754*F754</x:f>
        <x:v>318872.25</x:v>
      </x:c>
      <x:c r="I754" s="2" t="str">
        <x:f>TEXT(B754,"yyyy-mm")</x:f>
        <x:v>2023-08</x:v>
      </x:c>
      <x:c r="J754" s="8" t="n">
        <x:f>COUNTIFS($H$2:$H$1201,"&gt;"&amp;H754)+COUNTIFS($H$2:H754,H754)</x:f>
        <x:v>616</x:v>
      </x:c>
      <x:c r="K754" s="1"/>
      <x:c r="L754" s="1"/>
    </x:row>
    <x:row r="755" ht="22" customHeight="1">
      <x:c r="A755" s="8" t="n">
        <x:v>145</x:v>
      </x:c>
      <x:c r="B755" s="6" t="n">
        <x:v>45165</x:v>
      </x:c>
      <x:c r="C755" s="2" t="str">
        <x:v>Одежда</x:v>
      </x:c>
      <x:c r="D755" s="2" t="str">
        <x:v>Футболка</x:v>
      </x:c>
      <x:c r="E755" s="7" t="n">
        <x:v>131387.64</x:v>
      </x:c>
      <x:c r="F755" s="9" t="n">
        <x:v>10</x:v>
      </x:c>
      <x:c r="G755" s="2" t="str">
        <x:v>Новосибирск</x:v>
      </x:c>
      <x:c r="H755" s="7" t="n">
        <x:f>E755*F755</x:f>
        <x:v>1313876.4000000001</x:v>
      </x:c>
      <x:c r="I755" s="2" t="str">
        <x:f>TEXT(B755,"yyyy-mm")</x:f>
        <x:v>2023-08</x:v>
      </x:c>
      <x:c r="J755" s="8" t="n">
        <x:f>COUNTIFS($H$2:$H$1201,"&gt;"&amp;H755)+COUNTIFS($H$2:H755,H755)</x:f>
        <x:v>15</x:v>
      </x:c>
      <x:c r="K755" s="1"/>
      <x:c r="L755" s="1"/>
    </x:row>
    <x:row r="756" ht="22" customHeight="1">
      <x:c r="A756" s="8" t="n">
        <x:v>585</x:v>
      </x:c>
      <x:c r="B756" s="6" t="n">
        <x:v>45165</x:v>
      </x:c>
      <x:c r="C756" s="2" t="str">
        <x:v>Электроника</x:v>
      </x:c>
      <x:c r="D756" s="2" t="str">
        <x:v>Наушники</x:v>
      </x:c>
      <x:c r="E756" s="7" t="n">
        <x:v>35823.22</x:v>
      </x:c>
      <x:c r="F756" s="9" t="n">
        <x:v>8</x:v>
      </x:c>
      <x:c r="G756" s="2" t="str">
        <x:v>Санкт‑Петербург</x:v>
      </x:c>
      <x:c r="H756" s="7" t="n">
        <x:f>E756*F756</x:f>
        <x:v>286585.76</x:v>
      </x:c>
      <x:c r="I756" s="2" t="str">
        <x:f>TEXT(B756,"yyyy-mm")</x:f>
        <x:v>2023-08</x:v>
      </x:c>
      <x:c r="J756" s="8" t="n">
        <x:f>COUNTIFS($H$2:$H$1201,"&gt;"&amp;H756)+COUNTIFS($H$2:H756,H756)</x:f>
        <x:v>646</x:v>
      </x:c>
      <x:c r="K756" s="1"/>
      <x:c r="L756" s="1"/>
    </x:row>
    <x:row r="757" ht="22" customHeight="1">
      <x:c r="A757" s="8" t="n">
        <x:v>696</x:v>
      </x:c>
      <x:c r="B757" s="6" t="n">
        <x:v>45165</x:v>
      </x:c>
      <x:c r="C757" s="2" t="str">
        <x:v>Одежда</x:v>
      </x:c>
      <x:c r="D757" s="2" t="str">
        <x:v>Куртка</x:v>
      </x:c>
      <x:c r="E757" s="7" t="n">
        <x:v>142148.59</x:v>
      </x:c>
      <x:c r="F757" s="9" t="n">
        <x:v>1</x:v>
      </x:c>
      <x:c r="G757" s="2" t="str">
        <x:v>Новосибирск</x:v>
      </x:c>
      <x:c r="H757" s="7" t="n">
        <x:f>E757*F757</x:f>
        <x:v>142148.59</x:v>
      </x:c>
      <x:c r="I757" s="2" t="str">
        <x:f>TEXT(B757,"yyyy-mm")</x:f>
        <x:v>2023-08</x:v>
      </x:c>
      <x:c r="J757" s="8" t="n">
        <x:f>COUNTIFS($H$2:$H$1201,"&gt;"&amp;H757)+COUNTIFS($H$2:H757,H757)</x:f>
        <x:v>873</x:v>
      </x:c>
      <x:c r="K757" s="1"/>
      <x:c r="L757" s="1"/>
    </x:row>
    <x:row r="758" ht="22" customHeight="1">
      <x:c r="A758" s="8" t="n">
        <x:v>921</x:v>
      </x:c>
      <x:c r="B758" s="6" t="n">
        <x:v>45165</x:v>
      </x:c>
      <x:c r="C758" s="2" t="str">
        <x:v>Товары для дома</x:v>
      </x:c>
      <x:c r="D758" s="2" t="str">
        <x:v>Полотенце</x:v>
      </x:c>
      <x:c r="E758" s="7" t="n">
        <x:v>73092.26</x:v>
      </x:c>
      <x:c r="F758" s="9" t="n">
        <x:v>3</x:v>
      </x:c>
      <x:c r="G758" s="2" t="str">
        <x:v>Новосибирск</x:v>
      </x:c>
      <x:c r="H758" s="7" t="n">
        <x:f>E758*F758</x:f>
        <x:v>219276.77999999997</x:v>
      </x:c>
      <x:c r="I758" s="2" t="str">
        <x:f>TEXT(B758,"yyyy-mm")</x:f>
        <x:v>2023-08</x:v>
      </x:c>
      <x:c r="J758" s="8" t="n">
        <x:f>COUNTIFS($H$2:$H$1201,"&gt;"&amp;H758)+COUNTIFS($H$2:H758,H758)</x:f>
        <x:v>757</x:v>
      </x:c>
      <x:c r="K758" s="1"/>
      <x:c r="L758" s="1"/>
    </x:row>
    <x:row r="759" ht="22" customHeight="1">
      <x:c r="A759" s="8" t="n">
        <x:v>54</x:v>
      </x:c>
      <x:c r="B759" s="6" t="n">
        <x:v>45166</x:v>
      </x:c>
      <x:c r="C759" s="2" t="str">
        <x:v>Одежда</x:v>
      </x:c>
      <x:c r="D759" s="2" t="str">
        <x:v>Футболка</x:v>
      </x:c>
      <x:c r="E759" s="7" t="n">
        <x:v>85266.12</x:v>
      </x:c>
      <x:c r="F759" s="9" t="n">
        <x:v>4</x:v>
      </x:c>
      <x:c r="G759" s="2" t="str">
        <x:v>Москва</x:v>
      </x:c>
      <x:c r="H759" s="7" t="n">
        <x:f>E759*F759</x:f>
        <x:v>341064.48</x:v>
      </x:c>
      <x:c r="I759" s="2" t="str">
        <x:f>TEXT(B759,"yyyy-mm")</x:f>
        <x:v>2023-08</x:v>
      </x:c>
      <x:c r="J759" s="8" t="n">
        <x:f>COUNTIFS($H$2:$H$1201,"&gt;"&amp;H759)+COUNTIFS($H$2:H759,H759)</x:f>
        <x:v>594</x:v>
      </x:c>
      <x:c r="K759" s="1"/>
      <x:c r="L759" s="1"/>
    </x:row>
    <x:row r="760" ht="22" customHeight="1">
      <x:c r="A760" s="8" t="n">
        <x:v>783</x:v>
      </x:c>
      <x:c r="B760" s="6" t="n">
        <x:v>45166</x:v>
      </x:c>
      <x:c r="C760" s="2" t="str">
        <x:v>Продукты</x:v>
      </x:c>
      <x:c r="D760" s="2" t="str">
        <x:v>Хлеб</x:v>
      </x:c>
      <x:c r="E760" s="7" t="n">
        <x:v>139318.38</x:v>
      </x:c>
      <x:c r="F760" s="9" t="n">
        <x:v>8</x:v>
      </x:c>
      <x:c r="G760" s="2" t="str">
        <x:v>Новосибирск</x:v>
      </x:c>
      <x:c r="H760" s="7" t="n">
        <x:f>E760*F760</x:f>
        <x:v>1114547.04</x:v>
      </x:c>
      <x:c r="I760" s="2" t="str">
        <x:f>TEXT(B760,"yyyy-mm")</x:f>
        <x:v>2023-08</x:v>
      </x:c>
      <x:c r="J760" s="8" t="n">
        <x:f>COUNTIFS($H$2:$H$1201,"&gt;"&amp;H760)+COUNTIFS($H$2:H760,H760)</x:f>
        <x:v>60</x:v>
      </x:c>
      <x:c r="K760" s="1"/>
      <x:c r="L760" s="1"/>
    </x:row>
    <x:row r="761" ht="22" customHeight="1">
      <x:c r="A761" s="8" t="n">
        <x:v>1081</x:v>
      </x:c>
      <x:c r="B761" s="6" t="n">
        <x:v>45166</x:v>
      </x:c>
      <x:c r="C761" s="2" t="str">
        <x:v>Продукты</x:v>
      </x:c>
      <x:c r="D761" s="2" t="str">
        <x:v>Молоко</x:v>
      </x:c>
      <x:c r="E761" s="7" t="n">
        <x:v>144298.42</x:v>
      </x:c>
      <x:c r="F761" s="9" t="n">
        <x:v>1</x:v>
      </x:c>
      <x:c r="G761" s="2" t="str">
        <x:v>Казань</x:v>
      </x:c>
      <x:c r="H761" s="7" t="n">
        <x:f>E761*F761</x:f>
        <x:v>144298.42</x:v>
      </x:c>
      <x:c r="I761" s="2" t="str">
        <x:f>TEXT(B761,"yyyy-mm")</x:f>
        <x:v>2023-08</x:v>
      </x:c>
      <x:c r="J761" s="8" t="n">
        <x:f>COUNTIFS($H$2:$H$1201,"&gt;"&amp;H761)+COUNTIFS($H$2:H761,H761)</x:f>
        <x:v>867</x:v>
      </x:c>
      <x:c r="K761" s="1"/>
      <x:c r="L761" s="1"/>
    </x:row>
    <x:row r="762" ht="22" customHeight="1">
      <x:c r="A762" s="8" t="n">
        <x:v>1189</x:v>
      </x:c>
      <x:c r="B762" s="6" t="n">
        <x:v>45166</x:v>
      </x:c>
      <x:c r="C762" s="2" t="str">
        <x:v>Продукты</x:v>
      </x:c>
      <x:c r="D762" s="2" t="str">
        <x:v>Кофе</x:v>
      </x:c>
      <x:c r="E762" s="7" t="n">
        <x:v>65540.06</x:v>
      </x:c>
      <x:c r="F762" s="9" t="n">
        <x:v>9</x:v>
      </x:c>
      <x:c r="G762" s="2" t="str">
        <x:v>Санкт‑Петербург</x:v>
      </x:c>
      <x:c r="H762" s="7" t="n">
        <x:f>E762*F762</x:f>
        <x:v>589860.54</x:v>
      </x:c>
      <x:c r="I762" s="2" t="str">
        <x:f>TEXT(B762,"yyyy-mm")</x:f>
        <x:v>2023-08</x:v>
      </x:c>
      <x:c r="J762" s="8" t="n">
        <x:f>COUNTIFS($H$2:$H$1201,"&gt;"&amp;H762)+COUNTIFS($H$2:H762,H762)</x:f>
        <x:v>327</x:v>
      </x:c>
      <x:c r="K762" s="1"/>
      <x:c r="L762" s="1"/>
    </x:row>
    <x:row r="763" ht="22" customHeight="1">
      <x:c r="A763" s="8" t="n">
        <x:v>795</x:v>
      </x:c>
      <x:c r="B763" s="6" t="n">
        <x:v>45167</x:v>
      </x:c>
      <x:c r="C763" s="2" t="str">
        <x:v>Одежда</x:v>
      </x:c>
      <x:c r="D763" s="2" t="str">
        <x:v>Футболка</x:v>
      </x:c>
      <x:c r="E763" s="7" t="n">
        <x:v>68733.11</x:v>
      </x:c>
      <x:c r="F763" s="9" t="n">
        <x:v>4</x:v>
      </x:c>
      <x:c r="G763" s="2" t="str">
        <x:v>Санкт‑Петербург</x:v>
      </x:c>
      <x:c r="H763" s="7" t="n">
        <x:f>E763*F763</x:f>
        <x:v>274932.44</x:v>
      </x:c>
      <x:c r="I763" s="2" t="str">
        <x:f>TEXT(B763,"yyyy-mm")</x:f>
        <x:v>2023-08</x:v>
      </x:c>
      <x:c r="J763" s="8" t="n">
        <x:f>COUNTIFS($H$2:$H$1201,"&gt;"&amp;H763)+COUNTIFS($H$2:H763,H763)</x:f>
        <x:v>664</x:v>
      </x:c>
      <x:c r="K763" s="1"/>
      <x:c r="L763" s="1"/>
    </x:row>
    <x:row r="764" ht="22" customHeight="1">
      <x:c r="A764" s="8" t="n">
        <x:v>1097</x:v>
      </x:c>
      <x:c r="B764" s="6" t="n">
        <x:v>45167</x:v>
      </x:c>
      <x:c r="C764" s="2" t="str">
        <x:v>Продукты</x:v>
      </x:c>
      <x:c r="D764" s="2" t="str">
        <x:v>Кофе</x:v>
      </x:c>
      <x:c r="E764" s="7" t="n">
        <x:v>24453.14</x:v>
      </x:c>
      <x:c r="F764" s="9" t="n">
        <x:v>8</x:v>
      </x:c>
      <x:c r="G764" s="2" t="str">
        <x:v>Московская область</x:v>
      </x:c>
      <x:c r="H764" s="7" t="n">
        <x:f>E764*F764</x:f>
        <x:v>195625.12</x:v>
      </x:c>
      <x:c r="I764" s="2" t="str">
        <x:f>TEXT(B764,"yyyy-mm")</x:f>
        <x:v>2023-08</x:v>
      </x:c>
      <x:c r="J764" s="8" t="n">
        <x:f>COUNTIFS($H$2:$H$1201,"&gt;"&amp;H764)+COUNTIFS($H$2:H764,H764)</x:f>
        <x:v>793</x:v>
      </x:c>
      <x:c r="K764" s="1"/>
      <x:c r="L764" s="1"/>
    </x:row>
    <x:row r="765" ht="22" customHeight="1">
      <x:c r="A765" s="8" t="n">
        <x:v>42</x:v>
      </x:c>
      <x:c r="B765" s="6" t="n">
        <x:v>45168</x:v>
      </x:c>
      <x:c r="C765" s="2" t="str">
        <x:v>Одежда</x:v>
      </x:c>
      <x:c r="D765" s="2" t="str">
        <x:v>Джинсы</x:v>
      </x:c>
      <x:c r="E765" s="7" t="n">
        <x:v>124745.81</x:v>
      </x:c>
      <x:c r="F765" s="9" t="n">
        <x:v>6</x:v>
      </x:c>
      <x:c r="G765" s="2" t="str">
        <x:v>Москва</x:v>
      </x:c>
      <x:c r="H765" s="7" t="n">
        <x:f>E765*F765</x:f>
        <x:v>748474.86</x:v>
      </x:c>
      <x:c r="I765" s="2" t="str">
        <x:f>TEXT(B765,"yyyy-mm")</x:f>
        <x:v>2023-08</x:v>
      </x:c>
      <x:c r="J765" s="8" t="n">
        <x:f>COUNTIFS($H$2:$H$1201,"&gt;"&amp;H765)+COUNTIFS($H$2:H765,H765)</x:f>
        <x:v>229</x:v>
      </x:c>
      <x:c r="K765" s="1"/>
      <x:c r="L765" s="1"/>
    </x:row>
    <x:row r="766" ht="22" customHeight="1">
      <x:c r="A766" s="8" t="n">
        <x:v>288</x:v>
      </x:c>
      <x:c r="B766" s="6" t="n">
        <x:v>45168</x:v>
      </x:c>
      <x:c r="C766" s="2" t="str">
        <x:v>Товары для дома</x:v>
      </x:c>
      <x:c r="D766" s="2" t="str">
        <x:v>Плед</x:v>
      </x:c>
      <x:c r="E766" s="7" t="n">
        <x:v>143849.85</x:v>
      </x:c>
      <x:c r="F766" s="9" t="n">
        <x:v>8</x:v>
      </x:c>
      <x:c r="G766" s="2" t="str">
        <x:v>Новосибирск</x:v>
      </x:c>
      <x:c r="H766" s="7" t="n">
        <x:f>E766*F766</x:f>
        <x:v>1150798.8</x:v>
      </x:c>
      <x:c r="I766" s="2" t="str">
        <x:f>TEXT(B766,"yyyy-mm")</x:f>
        <x:v>2023-08</x:v>
      </x:c>
      <x:c r="J766" s="8" t="n">
        <x:f>COUNTIFS($H$2:$H$1201,"&gt;"&amp;H766)+COUNTIFS($H$2:H766,H766)</x:f>
        <x:v>47</x:v>
      </x:c>
      <x:c r="K766" s="1"/>
      <x:c r="L766" s="1"/>
    </x:row>
    <x:row r="767" ht="22" customHeight="1">
      <x:c r="A767" s="8" t="n">
        <x:v>945</x:v>
      </x:c>
      <x:c r="B767" s="6" t="n">
        <x:v>45168</x:v>
      </x:c>
      <x:c r="C767" s="2" t="str">
        <x:v>Одежда</x:v>
      </x:c>
      <x:c r="D767" s="2" t="str">
        <x:v>Футболка</x:v>
      </x:c>
      <x:c r="E767" s="7" t="n">
        <x:v>91458.67</x:v>
      </x:c>
      <x:c r="F767" s="9" t="n">
        <x:v>10</x:v>
      </x:c>
      <x:c r="G767" s="2" t="str">
        <x:v>Казань</x:v>
      </x:c>
      <x:c r="H767" s="7" t="n">
        <x:f>E767*F767</x:f>
        <x:v>914586.7</x:v>
      </x:c>
      <x:c r="I767" s="2" t="str">
        <x:f>TEXT(B767,"yyyy-mm")</x:f>
        <x:v>2023-08</x:v>
      </x:c>
      <x:c r="J767" s="8" t="n">
        <x:f>COUNTIFS($H$2:$H$1201,"&gt;"&amp;H767)+COUNTIFS($H$2:H767,H767)</x:f>
        <x:v>129</x:v>
      </x:c>
      <x:c r="K767" s="1"/>
      <x:c r="L767" s="1"/>
    </x:row>
    <x:row r="768" ht="22" customHeight="1">
      <x:c r="A768" s="8" t="n">
        <x:v>1111</x:v>
      </x:c>
      <x:c r="B768" s="6" t="n">
        <x:v>45168</x:v>
      </x:c>
      <x:c r="C768" s="2" t="str">
        <x:v>Одежда</x:v>
      </x:c>
      <x:c r="D768" s="2" t="str">
        <x:v>Футболка</x:v>
      </x:c>
      <x:c r="E768" s="7" t="n">
        <x:v>54353.92</x:v>
      </x:c>
      <x:c r="F768" s="9" t="n">
        <x:v>9</x:v>
      </x:c>
      <x:c r="G768" s="2" t="str">
        <x:v>Казань</x:v>
      </x:c>
      <x:c r="H768" s="7" t="n">
        <x:f>E768*F768</x:f>
        <x:v>489185.27999999997</x:v>
      </x:c>
      <x:c r="I768" s="2" t="str">
        <x:f>TEXT(B768,"yyyy-mm")</x:f>
        <x:v>2023-08</x:v>
      </x:c>
      <x:c r="J768" s="8" t="n">
        <x:f>COUNTIFS($H$2:$H$1201,"&gt;"&amp;H768)+COUNTIFS($H$2:H768,H768)</x:f>
        <x:v>422</x:v>
      </x:c>
      <x:c r="K768" s="1"/>
      <x:c r="L768" s="1"/>
    </x:row>
    <x:row r="769" ht="22" customHeight="1">
      <x:c r="A769" s="8" t="n">
        <x:v>318</x:v>
      </x:c>
      <x:c r="B769" s="6" t="n">
        <x:v>45169</x:v>
      </x:c>
      <x:c r="C769" s="2" t="str">
        <x:v>Продукты</x:v>
      </x:c>
      <x:c r="D769" s="2" t="str">
        <x:v>Хлеб</x:v>
      </x:c>
      <x:c r="E769" s="7" t="n">
        <x:v>106163.22</x:v>
      </x:c>
      <x:c r="F769" s="9" t="n">
        <x:v>2</x:v>
      </x:c>
      <x:c r="G769" s="2" t="str">
        <x:v>Новосибирск</x:v>
      </x:c>
      <x:c r="H769" s="7" t="n">
        <x:f>E769*F769</x:f>
        <x:v>212326.44</x:v>
      </x:c>
      <x:c r="I769" s="2" t="str">
        <x:f>TEXT(B769,"yyyy-mm")</x:f>
        <x:v>2023-08</x:v>
      </x:c>
      <x:c r="J769" s="8" t="n">
        <x:f>COUNTIFS($H$2:$H$1201,"&gt;"&amp;H769)+COUNTIFS($H$2:H769,H769)</x:f>
        <x:v>772</x:v>
      </x:c>
      <x:c r="K769" s="1"/>
      <x:c r="L769" s="1"/>
    </x:row>
    <x:row r="770" ht="22" customHeight="1">
      <x:c r="A770" s="8" t="n">
        <x:v>362</x:v>
      </x:c>
      <x:c r="B770" s="6" t="n">
        <x:v>45169</x:v>
      </x:c>
      <x:c r="C770" s="2" t="str">
        <x:v>Продукты</x:v>
      </x:c>
      <x:c r="D770" s="2" t="str">
        <x:v>Хлеб</x:v>
      </x:c>
      <x:c r="E770" s="7" t="n">
        <x:v>51962.28</x:v>
      </x:c>
      <x:c r="F770" s="9" t="n">
        <x:v>5</x:v>
      </x:c>
      <x:c r="G770" s="2" t="str">
        <x:v>Санкт‑Петербург</x:v>
      </x:c>
      <x:c r="H770" s="7" t="n">
        <x:f>E770*F770</x:f>
        <x:v>259811.4</x:v>
      </x:c>
      <x:c r="I770" s="2" t="str">
        <x:f>TEXT(B770,"yyyy-mm")</x:f>
        <x:v>2023-08</x:v>
      </x:c>
      <x:c r="J770" s="8" t="n">
        <x:f>COUNTIFS($H$2:$H$1201,"&gt;"&amp;H770)+COUNTIFS($H$2:H770,H770)</x:f>
        <x:v>685</x:v>
      </x:c>
      <x:c r="K770" s="1"/>
      <x:c r="L770" s="1"/>
    </x:row>
    <x:row r="771" ht="22" customHeight="1">
      <x:c r="A771" s="8" t="n">
        <x:v>367</x:v>
      </x:c>
      <x:c r="B771" s="6" t="n">
        <x:v>45169</x:v>
      </x:c>
      <x:c r="C771" s="2" t="str">
        <x:v>Продукты</x:v>
      </x:c>
      <x:c r="D771" s="2" t="str">
        <x:v>Хлеб</x:v>
      </x:c>
      <x:c r="E771" s="7" t="n">
        <x:v>2273.22</x:v>
      </x:c>
      <x:c r="F771" s="9" t="n">
        <x:v>8</x:v>
      </x:c>
      <x:c r="G771" s="2" t="str">
        <x:v>Москва</x:v>
      </x:c>
      <x:c r="H771" s="7" t="n">
        <x:f>E771*F771</x:f>
        <x:v>18185.76</x:v>
      </x:c>
      <x:c r="I771" s="2" t="str">
        <x:f>TEXT(B771,"yyyy-mm")</x:f>
        <x:v>2023-08</x:v>
      </x:c>
      <x:c r="J771" s="8" t="n">
        <x:f>COUNTIFS($H$2:$H$1201,"&gt;"&amp;H771)+COUNTIFS($H$2:H771,H771)</x:f>
        <x:v>1158</x:v>
      </x:c>
      <x:c r="K771" s="1"/>
      <x:c r="L771" s="1"/>
    </x:row>
    <x:row r="772" ht="22" customHeight="1">
      <x:c r="A772" s="8" t="n">
        <x:v>964</x:v>
      </x:c>
      <x:c r="B772" s="6" t="n">
        <x:v>45170</x:v>
      </x:c>
      <x:c r="C772" s="2" t="str">
        <x:v>Одежда</x:v>
      </x:c>
      <x:c r="D772" s="2" t="str">
        <x:v>Кроссовки</x:v>
      </x:c>
      <x:c r="E772" s="7" t="n">
        <x:v>2630.26</x:v>
      </x:c>
      <x:c r="F772" s="9" t="n">
        <x:v>6</x:v>
      </x:c>
      <x:c r="G772" s="2" t="str">
        <x:v>Москва</x:v>
      </x:c>
      <x:c r="H772" s="7" t="n">
        <x:f>E772*F772</x:f>
        <x:v>15781.560000000001</x:v>
      </x:c>
      <x:c r="I772" s="2" t="str">
        <x:f>TEXT(B772,"yyyy-mm")</x:f>
        <x:v>2023-09</x:v>
      </x:c>
      <x:c r="J772" s="8" t="n">
        <x:f>COUNTIFS($H$2:$H$1201,"&gt;"&amp;H772)+COUNTIFS($H$2:H772,H772)</x:f>
        <x:v>1166</x:v>
      </x:c>
      <x:c r="K772" s="1"/>
      <x:c r="L772" s="1"/>
    </x:row>
    <x:row r="773" ht="22" customHeight="1">
      <x:c r="A773" s="8" t="n">
        <x:v>240</x:v>
      </x:c>
      <x:c r="B773" s="6" t="n">
        <x:v>45171</x:v>
      </x:c>
      <x:c r="C773" s="2" t="str">
        <x:v>Продукты</x:v>
      </x:c>
      <x:c r="D773" s="2" t="str">
        <x:v>Кофе</x:v>
      </x:c>
      <x:c r="E773" s="7" t="n">
        <x:v>12304.51</x:v>
      </x:c>
      <x:c r="F773" s="9" t="n">
        <x:v>1</x:v>
      </x:c>
      <x:c r="G773" s="2" t="str">
        <x:v>Казань</x:v>
      </x:c>
      <x:c r="H773" s="7" t="n">
        <x:f>E773*F773</x:f>
        <x:v>12304.51</x:v>
      </x:c>
      <x:c r="I773" s="2" t="str">
        <x:f>TEXT(B773,"yyyy-mm")</x:f>
        <x:v>2023-09</x:v>
      </x:c>
      <x:c r="J773" s="8" t="n">
        <x:f>COUNTIFS($H$2:$H$1201,"&gt;"&amp;H773)+COUNTIFS($H$2:H773,H773)</x:f>
        <x:v>1179</x:v>
      </x:c>
      <x:c r="K773" s="1"/>
      <x:c r="L773" s="1"/>
    </x:row>
    <x:row r="774" ht="22" customHeight="1">
      <x:c r="A774" s="8" t="n">
        <x:v>1164</x:v>
      </x:c>
      <x:c r="B774" s="6" t="n">
        <x:v>45171</x:v>
      </x:c>
      <x:c r="C774" s="2" t="str">
        <x:v>Электроника</x:v>
      </x:c>
      <x:c r="D774" s="2" t="str">
        <x:v>Наушники</x:v>
      </x:c>
      <x:c r="E774" s="7" t="n">
        <x:v>66493.34</x:v>
      </x:c>
      <x:c r="F774" s="9" t="n">
        <x:v>2</x:v>
      </x:c>
      <x:c r="G774" s="2" t="str">
        <x:v>Казань</x:v>
      </x:c>
      <x:c r="H774" s="7" t="n">
        <x:f>E774*F774</x:f>
        <x:v>132986.68</x:v>
      </x:c>
      <x:c r="I774" s="2" t="str">
        <x:f>TEXT(B774,"yyyy-mm")</x:f>
        <x:v>2023-09</x:v>
      </x:c>
      <x:c r="J774" s="8" t="n">
        <x:f>COUNTIFS($H$2:$H$1201,"&gt;"&amp;H774)+COUNTIFS($H$2:H774,H774)</x:f>
        <x:v>896</x:v>
      </x:c>
      <x:c r="K774" s="1"/>
      <x:c r="L774" s="1"/>
    </x:row>
    <x:row r="775" ht="22" customHeight="1">
      <x:c r="A775" s="8" t="n">
        <x:v>514</x:v>
      </x:c>
      <x:c r="B775" s="6" t="n">
        <x:v>45172</x:v>
      </x:c>
      <x:c r="C775" s="2" t="str">
        <x:v>Одежда</x:v>
      </x:c>
      <x:c r="D775" s="2" t="str">
        <x:v>Футболка</x:v>
      </x:c>
      <x:c r="E775" s="7" t="n">
        <x:v>148871.7</x:v>
      </x:c>
      <x:c r="F775" s="9" t="n">
        <x:v>3</x:v>
      </x:c>
      <x:c r="G775" s="2" t="str">
        <x:v>Екатеринбург</x:v>
      </x:c>
      <x:c r="H775" s="7" t="n">
        <x:f>E775*F775</x:f>
        <x:v>446615.10000000003</x:v>
      </x:c>
      <x:c r="I775" s="2" t="str">
        <x:f>TEXT(B775,"yyyy-mm")</x:f>
        <x:v>2023-09</x:v>
      </x:c>
      <x:c r="J775" s="8" t="n">
        <x:f>COUNTIFS($H$2:$H$1201,"&gt;"&amp;H775)+COUNTIFS($H$2:H775,H775)</x:f>
        <x:v>457</x:v>
      </x:c>
      <x:c r="K775" s="1"/>
      <x:c r="L775" s="1"/>
    </x:row>
    <x:row r="776" ht="22" customHeight="1">
      <x:c r="A776" s="8" t="n">
        <x:v>632</x:v>
      </x:c>
      <x:c r="B776" s="6" t="n">
        <x:v>45172</x:v>
      </x:c>
      <x:c r="C776" s="2" t="str">
        <x:v>Продукты</x:v>
      </x:c>
      <x:c r="D776" s="2" t="str">
        <x:v>Молоко</x:v>
      </x:c>
      <x:c r="E776" s="7" t="n">
        <x:v>130683.34</x:v>
      </x:c>
      <x:c r="F776" s="9" t="n">
        <x:v>8</x:v>
      </x:c>
      <x:c r="G776" s="2" t="str">
        <x:v>Екатеринбург</x:v>
      </x:c>
      <x:c r="H776" s="7" t="n">
        <x:f>E776*F776</x:f>
        <x:v>1045466.72</x:v>
      </x:c>
      <x:c r="I776" s="2" t="str">
        <x:f>TEXT(B776,"yyyy-mm")</x:f>
        <x:v>2023-09</x:v>
      </x:c>
      <x:c r="J776" s="8" t="n">
        <x:f>COUNTIFS($H$2:$H$1201,"&gt;"&amp;H776)+COUNTIFS($H$2:H776,H776)</x:f>
        <x:v>75</x:v>
      </x:c>
      <x:c r="K776" s="1"/>
      <x:c r="L776" s="1"/>
    </x:row>
    <x:row r="777" ht="22" customHeight="1">
      <x:c r="A777" s="8" t="n">
        <x:v>798</x:v>
      </x:c>
      <x:c r="B777" s="6" t="n">
        <x:v>45172</x:v>
      </x:c>
      <x:c r="C777" s="2" t="str">
        <x:v>Продукты</x:v>
      </x:c>
      <x:c r="D777" s="2" t="str">
        <x:v>Кофе</x:v>
      </x:c>
      <x:c r="E777" s="7" t="n">
        <x:v>19945.54</x:v>
      </x:c>
      <x:c r="F777" s="9" t="n">
        <x:v>6</x:v>
      </x:c>
      <x:c r="G777" s="2" t="str">
        <x:v>Екатеринбург</x:v>
      </x:c>
      <x:c r="H777" s="7" t="n">
        <x:f>E777*F777</x:f>
        <x:v>119673.24</x:v>
      </x:c>
      <x:c r="I777" s="2" t="str">
        <x:f>TEXT(B777,"yyyy-mm")</x:f>
        <x:v>2023-09</x:v>
      </x:c>
      <x:c r="J777" s="8" t="n">
        <x:f>COUNTIFS($H$2:$H$1201,"&gt;"&amp;H777)+COUNTIFS($H$2:H777,H777)</x:f>
        <x:v>928</x:v>
      </x:c>
      <x:c r="K777" s="1"/>
      <x:c r="L777" s="1"/>
    </x:row>
    <x:row r="778" ht="22" customHeight="1">
      <x:c r="A778" s="8" t="n">
        <x:v>847</x:v>
      </x:c>
      <x:c r="B778" s="6" t="n">
        <x:v>45172</x:v>
      </x:c>
      <x:c r="C778" s="2" t="str">
        <x:v>Продукты</x:v>
      </x:c>
      <x:c r="D778" s="2" t="str">
        <x:v>Молоко</x:v>
      </x:c>
      <x:c r="E778" s="7" t="n">
        <x:v>2955.63</x:v>
      </x:c>
      <x:c r="F778" s="9" t="n">
        <x:v>9</x:v>
      </x:c>
      <x:c r="G778" s="2" t="str">
        <x:v>Московская область</x:v>
      </x:c>
      <x:c r="H778" s="7" t="n">
        <x:f>E778*F778</x:f>
        <x:v>26600.670000000002</x:v>
      </x:c>
      <x:c r="I778" s="2" t="str">
        <x:f>TEXT(B778,"yyyy-mm")</x:f>
        <x:v>2023-09</x:v>
      </x:c>
      <x:c r="J778" s="8" t="n">
        <x:f>COUNTIFS($H$2:$H$1201,"&gt;"&amp;H778)+COUNTIFS($H$2:H778,H778)</x:f>
        <x:v>1137</x:v>
      </x:c>
      <x:c r="K778" s="1"/>
      <x:c r="L778" s="1"/>
    </x:row>
    <x:row r="779" ht="22" customHeight="1">
      <x:c r="A779" s="8" t="n">
        <x:v>879</x:v>
      </x:c>
      <x:c r="B779" s="6" t="n">
        <x:v>45172</x:v>
      </x:c>
      <x:c r="C779" s="2" t="str">
        <x:v>Продукты</x:v>
      </x:c>
      <x:c r="D779" s="2" t="str">
        <x:v>Молоко</x:v>
      </x:c>
      <x:c r="E779" s="7" t="n">
        <x:v>83263.48</x:v>
      </x:c>
      <x:c r="F779" s="9" t="n">
        <x:v>1</x:v>
      </x:c>
      <x:c r="G779" s="2" t="str">
        <x:v>Новосибирск</x:v>
      </x:c>
      <x:c r="H779" s="7" t="n">
        <x:f>E779*F779</x:f>
        <x:v>83263.48</x:v>
      </x:c>
      <x:c r="I779" s="2" t="str">
        <x:f>TEXT(B779,"yyyy-mm")</x:f>
        <x:v>2023-09</x:v>
      </x:c>
      <x:c r="J779" s="8" t="n">
        <x:f>COUNTIFS($H$2:$H$1201,"&gt;"&amp;H779)+COUNTIFS($H$2:H779,H779)</x:f>
        <x:v>1008</x:v>
      </x:c>
      <x:c r="K779" s="1"/>
      <x:c r="L779" s="1"/>
    </x:row>
    <x:row r="780" ht="22" customHeight="1">
      <x:c r="A780" s="8" t="n">
        <x:v>902</x:v>
      </x:c>
      <x:c r="B780" s="6" t="n">
        <x:v>45172</x:v>
      </x:c>
      <x:c r="C780" s="2" t="str">
        <x:v>Одежда</x:v>
      </x:c>
      <x:c r="D780" s="2" t="str">
        <x:v>Футболка</x:v>
      </x:c>
      <x:c r="E780" s="7" t="n">
        <x:v>247.14</x:v>
      </x:c>
      <x:c r="F780" s="9" t="n">
        <x:v>6</x:v>
      </x:c>
      <x:c r="G780" s="2" t="str">
        <x:v>Екатеринбург</x:v>
      </x:c>
      <x:c r="H780" s="7" t="n">
        <x:f>E780*F780</x:f>
        <x:v>1482.84</x:v>
      </x:c>
      <x:c r="I780" s="2" t="str">
        <x:f>TEXT(B780,"yyyy-mm")</x:f>
        <x:v>2023-09</x:v>
      </x:c>
      <x:c r="J780" s="8" t="n">
        <x:f>COUNTIFS($H$2:$H$1201,"&gt;"&amp;H780)+COUNTIFS($H$2:H780,H780)</x:f>
        <x:v>1198</x:v>
      </x:c>
      <x:c r="K780" s="1"/>
      <x:c r="L780" s="1"/>
    </x:row>
    <x:row r="781" ht="22" customHeight="1">
      <x:c r="A781" s="8" t="n">
        <x:v>916</x:v>
      </x:c>
      <x:c r="B781" s="6" t="n">
        <x:v>45172</x:v>
      </x:c>
      <x:c r="C781" s="2" t="str">
        <x:v>Товары для дома</x:v>
      </x:c>
      <x:c r="D781" s="2" t="str">
        <x:v>Подушка</x:v>
      </x:c>
      <x:c r="E781" s="7" t="n">
        <x:v>30662.55</x:v>
      </x:c>
      <x:c r="F781" s="9" t="n">
        <x:v>3</x:v>
      </x:c>
      <x:c r="G781" s="2" t="str">
        <x:v>Москва</x:v>
      </x:c>
      <x:c r="H781" s="7" t="n">
        <x:f>E781*F781</x:f>
        <x:v>91987.65</x:v>
      </x:c>
      <x:c r="I781" s="2" t="str">
        <x:f>TEXT(B781,"yyyy-mm")</x:f>
        <x:v>2023-09</x:v>
      </x:c>
      <x:c r="J781" s="8" t="n">
        <x:f>COUNTIFS($H$2:$H$1201,"&gt;"&amp;H781)+COUNTIFS($H$2:H781,H781)</x:f>
        <x:v>986</x:v>
      </x:c>
      <x:c r="K781" s="1"/>
      <x:c r="L781" s="1"/>
    </x:row>
    <x:row r="782" ht="22" customHeight="1">
      <x:c r="A782" s="8" t="n">
        <x:v>62</x:v>
      </x:c>
      <x:c r="B782" s="6" t="n">
        <x:v>45173</x:v>
      </x:c>
      <x:c r="C782" s="2" t="str">
        <x:v>Продукты</x:v>
      </x:c>
      <x:c r="D782" s="2" t="str">
        <x:v>Молоко</x:v>
      </x:c>
      <x:c r="E782" s="7" t="n">
        <x:v>88807.53</x:v>
      </x:c>
      <x:c r="F782" s="9" t="n">
        <x:v>4</x:v>
      </x:c>
      <x:c r="G782" s="2" t="str">
        <x:v>Екатеринбург</x:v>
      </x:c>
      <x:c r="H782" s="7" t="n">
        <x:f>E782*F782</x:f>
        <x:v>355230.12</x:v>
      </x:c>
      <x:c r="I782" s="2" t="str">
        <x:f>TEXT(B782,"yyyy-mm")</x:f>
        <x:v>2023-09</x:v>
      </x:c>
      <x:c r="J782" s="8" t="n">
        <x:f>COUNTIFS($H$2:$H$1201,"&gt;"&amp;H782)+COUNTIFS($H$2:H782,H782)</x:f>
        <x:v>580</x:v>
      </x:c>
      <x:c r="K782" s="1"/>
      <x:c r="L782" s="1"/>
    </x:row>
    <x:row r="783" ht="22" customHeight="1">
      <x:c r="A783" s="8" t="n">
        <x:v>215</x:v>
      </x:c>
      <x:c r="B783" s="6" t="n">
        <x:v>45173</x:v>
      </x:c>
      <x:c r="C783" s="2" t="str">
        <x:v>Электроника</x:v>
      </x:c>
      <x:c r="D783" s="2" t="str">
        <x:v>Наушники</x:v>
      </x:c>
      <x:c r="E783" s="7" t="n">
        <x:v>42146.28</x:v>
      </x:c>
      <x:c r="F783" s="9" t="n">
        <x:v>6</x:v>
      </x:c>
      <x:c r="G783" s="2" t="str">
        <x:v>Санкт‑Петербург</x:v>
      </x:c>
      <x:c r="H783" s="7" t="n">
        <x:f>E783*F783</x:f>
        <x:v>252877.68</x:v>
      </x:c>
      <x:c r="I783" s="2" t="str">
        <x:f>TEXT(B783,"yyyy-mm")</x:f>
        <x:v>2023-09</x:v>
      </x:c>
      <x:c r="J783" s="8" t="n">
        <x:f>COUNTIFS($H$2:$H$1201,"&gt;"&amp;H783)+COUNTIFS($H$2:H783,H783)</x:f>
        <x:v>700</x:v>
      </x:c>
      <x:c r="K783" s="1"/>
      <x:c r="L783" s="1"/>
    </x:row>
    <x:row r="784" ht="22" customHeight="1">
      <x:c r="A784" s="8" t="n">
        <x:v>293</x:v>
      </x:c>
      <x:c r="B784" s="6" t="n">
        <x:v>45173</x:v>
      </x:c>
      <x:c r="C784" s="2" t="str">
        <x:v>Товары для дома</x:v>
      </x:c>
      <x:c r="D784" s="2" t="str">
        <x:v>Подушка</x:v>
      </x:c>
      <x:c r="E784" s="7" t="n">
        <x:v>8239.35</x:v>
      </x:c>
      <x:c r="F784" s="9" t="n">
        <x:v>3</x:v>
      </x:c>
      <x:c r="G784" s="2" t="str">
        <x:v>Новосибирск</x:v>
      </x:c>
      <x:c r="H784" s="7" t="n">
        <x:f>E784*F784</x:f>
        <x:v>24718.050000000003</x:v>
      </x:c>
      <x:c r="I784" s="2" t="str">
        <x:f>TEXT(B784,"yyyy-mm")</x:f>
        <x:v>2023-09</x:v>
      </x:c>
      <x:c r="J784" s="8" t="n">
        <x:f>COUNTIFS($H$2:$H$1201,"&gt;"&amp;H784)+COUNTIFS($H$2:H784,H784)</x:f>
        <x:v>1143</x:v>
      </x:c>
      <x:c r="K784" s="1"/>
      <x:c r="L784" s="1"/>
    </x:row>
    <x:row r="785" ht="22" customHeight="1">
      <x:c r="A785" s="8" t="n">
        <x:v>344</x:v>
      </x:c>
      <x:c r="B785" s="6" t="n">
        <x:v>45173</x:v>
      </x:c>
      <x:c r="C785" s="2" t="str">
        <x:v>Товары для дома</x:v>
      </x:c>
      <x:c r="D785" s="2" t="str">
        <x:v>Плед</x:v>
      </x:c>
      <x:c r="E785" s="7" t="n">
        <x:v>126268.98</x:v>
      </x:c>
      <x:c r="F785" s="9" t="n">
        <x:v>4</x:v>
      </x:c>
      <x:c r="G785" s="2" t="str">
        <x:v>Казань</x:v>
      </x:c>
      <x:c r="H785" s="7" t="n">
        <x:f>E785*F785</x:f>
        <x:v>505075.92</x:v>
      </x:c>
      <x:c r="I785" s="2" t="str">
        <x:f>TEXT(B785,"yyyy-mm")</x:f>
        <x:v>2023-09</x:v>
      </x:c>
      <x:c r="J785" s="8" t="n">
        <x:f>COUNTIFS($H$2:$H$1201,"&gt;"&amp;H785)+COUNTIFS($H$2:H785,H785)</x:f>
        <x:v>405</x:v>
      </x:c>
      <x:c r="K785" s="1"/>
      <x:c r="L785" s="1"/>
    </x:row>
    <x:row r="786" ht="22" customHeight="1">
      <x:c r="A786" s="8" t="n">
        <x:v>1131</x:v>
      </x:c>
      <x:c r="B786" s="6" t="n">
        <x:v>45173</x:v>
      </x:c>
      <x:c r="C786" s="2" t="str">
        <x:v>Одежда</x:v>
      </x:c>
      <x:c r="D786" s="2" t="str">
        <x:v>Кроссовки</x:v>
      </x:c>
      <x:c r="E786" s="7" t="n">
        <x:v>101248.22</x:v>
      </x:c>
      <x:c r="F786" s="9" t="n">
        <x:v>2</x:v>
      </x:c>
      <x:c r="G786" s="2" t="str">
        <x:v>Новосибирск</x:v>
      </x:c>
      <x:c r="H786" s="7" t="n">
        <x:f>E786*F786</x:f>
        <x:v>202496.44</x:v>
      </x:c>
      <x:c r="I786" s="2" t="str">
        <x:f>TEXT(B786,"yyyy-mm")</x:f>
        <x:v>2023-09</x:v>
      </x:c>
      <x:c r="J786" s="8" t="n">
        <x:f>COUNTIFS($H$2:$H$1201,"&gt;"&amp;H786)+COUNTIFS($H$2:H786,H786)</x:f>
        <x:v>783</x:v>
      </x:c>
      <x:c r="K786" s="1"/>
      <x:c r="L786" s="1"/>
    </x:row>
    <x:row r="787" ht="22" customHeight="1">
      <x:c r="A787" s="8" t="n">
        <x:v>1149</x:v>
      </x:c>
      <x:c r="B787" s="6" t="n">
        <x:v>45173</x:v>
      </x:c>
      <x:c r="C787" s="2" t="str">
        <x:v>Одежда</x:v>
      </x:c>
      <x:c r="D787" s="2" t="str">
        <x:v>Футболка</x:v>
      </x:c>
      <x:c r="E787" s="7" t="n">
        <x:v>58405.67</x:v>
      </x:c>
      <x:c r="F787" s="9" t="n">
        <x:v>1</x:v>
      </x:c>
      <x:c r="G787" s="2" t="str">
        <x:v>Санкт‑Петербург</x:v>
      </x:c>
      <x:c r="H787" s="7" t="n">
        <x:f>E787*F787</x:f>
        <x:v>58405.67</x:v>
      </x:c>
      <x:c r="I787" s="2" t="str">
        <x:f>TEXT(B787,"yyyy-mm")</x:f>
        <x:v>2023-09</x:v>
      </x:c>
      <x:c r="J787" s="8" t="n">
        <x:f>COUNTIFS($H$2:$H$1201,"&gt;"&amp;H787)+COUNTIFS($H$2:H787,H787)</x:f>
        <x:v>1062</x:v>
      </x:c>
      <x:c r="K787" s="1"/>
      <x:c r="L787" s="1"/>
    </x:row>
    <x:row r="788" ht="22" customHeight="1">
      <x:c r="A788" s="8" t="n">
        <x:v>1176</x:v>
      </x:c>
      <x:c r="B788" s="6" t="n">
        <x:v>45173</x:v>
      </x:c>
      <x:c r="C788" s="2" t="str">
        <x:v>Товары для дома</x:v>
      </x:c>
      <x:c r="D788" s="2" t="str">
        <x:v>Кружка</x:v>
      </x:c>
      <x:c r="E788" s="7" t="n">
        <x:v>105645.76</x:v>
      </x:c>
      <x:c r="F788" s="9" t="n">
        <x:v>4</x:v>
      </x:c>
      <x:c r="G788" s="2" t="str">
        <x:v>Москва</x:v>
      </x:c>
      <x:c r="H788" s="7" t="n">
        <x:f>E788*F788</x:f>
        <x:v>422583.04</x:v>
      </x:c>
      <x:c r="I788" s="2" t="str">
        <x:f>TEXT(B788,"yyyy-mm")</x:f>
        <x:v>2023-09</x:v>
      </x:c>
      <x:c r="J788" s="8" t="n">
        <x:f>COUNTIFS($H$2:$H$1201,"&gt;"&amp;H788)+COUNTIFS($H$2:H788,H788)</x:f>
        <x:v>493</x:v>
      </x:c>
      <x:c r="K788" s="1"/>
      <x:c r="L788" s="1"/>
    </x:row>
    <x:row r="789" ht="22" customHeight="1">
      <x:c r="A789" s="8" t="n">
        <x:v>105</x:v>
      </x:c>
      <x:c r="B789" s="6" t="n">
        <x:v>45174</x:v>
      </x:c>
      <x:c r="C789" s="2" t="str">
        <x:v>Электроника</x:v>
      </x:c>
      <x:c r="D789" s="2" t="str">
        <x:v>Ноутбук</x:v>
      </x:c>
      <x:c r="E789" s="7" t="n">
        <x:v>135557</x:v>
      </x:c>
      <x:c r="F789" s="9" t="n">
        <x:v>3</x:v>
      </x:c>
      <x:c r="G789" s="2" t="str">
        <x:v>Казань</x:v>
      </x:c>
      <x:c r="H789" s="7" t="n">
        <x:f>E789*F789</x:f>
        <x:v>406671</x:v>
      </x:c>
      <x:c r="I789" s="2" t="str">
        <x:f>TEXT(B789,"yyyy-mm")</x:f>
        <x:v>2023-09</x:v>
      </x:c>
      <x:c r="J789" s="8" t="n">
        <x:f>COUNTIFS($H$2:$H$1201,"&gt;"&amp;H789)+COUNTIFS($H$2:H789,H789)</x:f>
        <x:v>508</x:v>
      </x:c>
      <x:c r="K789" s="1"/>
      <x:c r="L789" s="1"/>
    </x:row>
    <x:row r="790" ht="22" customHeight="1">
      <x:c r="A790" s="8" t="n">
        <x:v>155</x:v>
      </x:c>
      <x:c r="B790" s="6" t="n">
        <x:v>45174</x:v>
      </x:c>
      <x:c r="C790" s="2" t="str">
        <x:v>Товары для дома</x:v>
      </x:c>
      <x:c r="D790" s="2" t="str">
        <x:v>Полотенце</x:v>
      </x:c>
      <x:c r="E790" s="7" t="n">
        <x:v>128867.15</x:v>
      </x:c>
      <x:c r="F790" s="9" t="n">
        <x:v>2</x:v>
      </x:c>
      <x:c r="G790" s="2" t="str">
        <x:v>Казань</x:v>
      </x:c>
      <x:c r="H790" s="7" t="n">
        <x:f>E790*F790</x:f>
        <x:v>257734.3</x:v>
      </x:c>
      <x:c r="I790" s="2" t="str">
        <x:f>TEXT(B790,"yyyy-mm")</x:f>
        <x:v>2023-09</x:v>
      </x:c>
      <x:c r="J790" s="8" t="n">
        <x:f>COUNTIFS($H$2:$H$1201,"&gt;"&amp;H790)+COUNTIFS($H$2:H790,H790)</x:f>
        <x:v>689</x:v>
      </x:c>
      <x:c r="K790" s="1"/>
      <x:c r="L790" s="1"/>
    </x:row>
    <x:row r="791" ht="22" customHeight="1">
      <x:c r="A791" s="8" t="n">
        <x:v>476</x:v>
      </x:c>
      <x:c r="B791" s="6" t="n">
        <x:v>45174</x:v>
      </x:c>
      <x:c r="C791" s="2" t="str">
        <x:v>Товары для дома</x:v>
      </x:c>
      <x:c r="D791" s="2" t="str">
        <x:v>Полотенце</x:v>
      </x:c>
      <x:c r="E791" s="7" t="n">
        <x:v>144924.22</x:v>
      </x:c>
      <x:c r="F791" s="9" t="n">
        <x:v>7</x:v>
      </x:c>
      <x:c r="G791" s="2" t="str">
        <x:v>Московская область</x:v>
      </x:c>
      <x:c r="H791" s="7" t="n">
        <x:f>E791*F791</x:f>
        <x:v>1014469.54</x:v>
      </x:c>
      <x:c r="I791" s="2" t="str">
        <x:f>TEXT(B791,"yyyy-mm")</x:f>
        <x:v>2023-09</x:v>
      </x:c>
      <x:c r="J791" s="8" t="n">
        <x:f>COUNTIFS($H$2:$H$1201,"&gt;"&amp;H791)+COUNTIFS($H$2:H791,H791)</x:f>
        <x:v>85</x:v>
      </x:c>
      <x:c r="K791" s="1"/>
      <x:c r="L791" s="1"/>
    </x:row>
    <x:row r="792" ht="22" customHeight="1">
      <x:c r="A792" s="8" t="n">
        <x:v>787</x:v>
      </x:c>
      <x:c r="B792" s="6" t="n">
        <x:v>45174</x:v>
      </x:c>
      <x:c r="C792" s="2" t="str">
        <x:v>Продукты</x:v>
      </x:c>
      <x:c r="D792" s="2" t="str">
        <x:v>Кофе</x:v>
      </x:c>
      <x:c r="E792" s="7" t="n">
        <x:v>63783.16</x:v>
      </x:c>
      <x:c r="F792" s="9" t="n">
        <x:v>6</x:v>
      </x:c>
      <x:c r="G792" s="2" t="str">
        <x:v>Санкт‑Петербург</x:v>
      </x:c>
      <x:c r="H792" s="7" t="n">
        <x:f>E792*F792</x:f>
        <x:v>382698.96</x:v>
      </x:c>
      <x:c r="I792" s="2" t="str">
        <x:f>TEXT(B792,"yyyy-mm")</x:f>
        <x:v>2023-09</x:v>
      </x:c>
      <x:c r="J792" s="8" t="n">
        <x:f>COUNTIFS($H$2:$H$1201,"&gt;"&amp;H792)+COUNTIFS($H$2:H792,H792)</x:f>
        <x:v>545</x:v>
      </x:c>
      <x:c r="K792" s="1"/>
      <x:c r="L792" s="1"/>
    </x:row>
    <x:row r="793" ht="22" customHeight="1">
      <x:c r="A793" s="8" t="n">
        <x:v>20</x:v>
      </x:c>
      <x:c r="B793" s="6" t="n">
        <x:v>45175</x:v>
      </x:c>
      <x:c r="C793" s="2" t="str">
        <x:v>Электроника</x:v>
      </x:c>
      <x:c r="D793" s="2" t="str">
        <x:v>Планшет</x:v>
      </x:c>
      <x:c r="E793" s="7" t="n">
        <x:v>116430.5</x:v>
      </x:c>
      <x:c r="F793" s="9" t="n">
        <x:v>7</x:v>
      </x:c>
      <x:c r="G793" s="2" t="str">
        <x:v>Санкт‑Петербург</x:v>
      </x:c>
      <x:c r="H793" s="7" t="n">
        <x:f>E793*F793</x:f>
        <x:v>815013.5</x:v>
      </x:c>
      <x:c r="I793" s="2" t="str">
        <x:f>TEXT(B793,"yyyy-mm")</x:f>
        <x:v>2023-09</x:v>
      </x:c>
      <x:c r="J793" s="8" t="n">
        <x:f>COUNTIFS($H$2:$H$1201,"&gt;"&amp;H793)+COUNTIFS($H$2:H793,H793)</x:f>
        <x:v>185</x:v>
      </x:c>
      <x:c r="K793" s="1"/>
      <x:c r="L793" s="1"/>
    </x:row>
    <x:row r="794" ht="22" customHeight="1">
      <x:c r="A794" s="8" t="n">
        <x:v>617</x:v>
      </x:c>
      <x:c r="B794" s="6" t="n">
        <x:v>45175</x:v>
      </x:c>
      <x:c r="C794" s="2" t="str">
        <x:v>Одежда</x:v>
      </x:c>
      <x:c r="D794" s="2" t="str">
        <x:v>Футболка</x:v>
      </x:c>
      <x:c r="E794" s="7" t="n">
        <x:v>45117.64</x:v>
      </x:c>
      <x:c r="F794" s="9" t="n">
        <x:v>1</x:v>
      </x:c>
      <x:c r="G794" s="2" t="str">
        <x:v>Москва</x:v>
      </x:c>
      <x:c r="H794" s="7" t="n">
        <x:f>E794*F794</x:f>
        <x:v>45117.64</x:v>
      </x:c>
      <x:c r="I794" s="2" t="str">
        <x:f>TEXT(B794,"yyyy-mm")</x:f>
        <x:v>2023-09</x:v>
      </x:c>
      <x:c r="J794" s="8" t="n">
        <x:f>COUNTIFS($H$2:$H$1201,"&gt;"&amp;H794)+COUNTIFS($H$2:H794,H794)</x:f>
        <x:v>1097</x:v>
      </x:c>
      <x:c r="K794" s="1"/>
      <x:c r="L794" s="1"/>
    </x:row>
    <x:row r="795" ht="22" customHeight="1">
      <x:c r="A795" s="8" t="n">
        <x:v>1160</x:v>
      </x:c>
      <x:c r="B795" s="6" t="n">
        <x:v>45175</x:v>
      </x:c>
      <x:c r="C795" s="2" t="str">
        <x:v>Одежда</x:v>
      </x:c>
      <x:c r="D795" s="2" t="str">
        <x:v>Футболка</x:v>
      </x:c>
      <x:c r="E795" s="7" t="n">
        <x:v>5305</x:v>
      </x:c>
      <x:c r="F795" s="9" t="n">
        <x:v>8</x:v>
      </x:c>
      <x:c r="G795" s="2" t="str">
        <x:v>Москва</x:v>
      </x:c>
      <x:c r="H795" s="7" t="n">
        <x:f>E795*F795</x:f>
        <x:v>42440</x:v>
      </x:c>
      <x:c r="I795" s="2" t="str">
        <x:f>TEXT(B795,"yyyy-mm")</x:f>
        <x:v>2023-09</x:v>
      </x:c>
      <x:c r="J795" s="8" t="n">
        <x:f>COUNTIFS($H$2:$H$1201,"&gt;"&amp;H795)+COUNTIFS($H$2:H795,H795)</x:f>
        <x:v>1101</x:v>
      </x:c>
      <x:c r="K795" s="1"/>
      <x:c r="L795" s="1"/>
    </x:row>
    <x:row r="796" ht="22" customHeight="1">
      <x:c r="A796" s="8" t="n">
        <x:v>1193</x:v>
      </x:c>
      <x:c r="B796" s="6" t="n">
        <x:v>45175</x:v>
      </x:c>
      <x:c r="C796" s="2" t="str">
        <x:v>Одежда</x:v>
      </x:c>
      <x:c r="D796" s="2" t="str">
        <x:v>Джинсы</x:v>
      </x:c>
      <x:c r="E796" s="7" t="n">
        <x:v>113723.68</x:v>
      </x:c>
      <x:c r="F796" s="9" t="n">
        <x:v>5</x:v>
      </x:c>
      <x:c r="G796" s="2" t="str">
        <x:v>Московская область</x:v>
      </x:c>
      <x:c r="H796" s="7" t="n">
        <x:f>E796*F796</x:f>
        <x:v>568618.3999999999</x:v>
      </x:c>
      <x:c r="I796" s="2" t="str">
        <x:f>TEXT(B796,"yyyy-mm")</x:f>
        <x:v>2023-09</x:v>
      </x:c>
      <x:c r="J796" s="8" t="n">
        <x:f>COUNTIFS($H$2:$H$1201,"&gt;"&amp;H796)+COUNTIFS($H$2:H796,H796)</x:f>
        <x:v>353</x:v>
      </x:c>
      <x:c r="K796" s="1"/>
      <x:c r="L796" s="1"/>
    </x:row>
    <x:row r="797" ht="22" customHeight="1">
      <x:c r="A797" s="8" t="n">
        <x:v>32</x:v>
      </x:c>
      <x:c r="B797" s="6" t="n">
        <x:v>45177</x:v>
      </x:c>
      <x:c r="C797" s="2" t="str">
        <x:v>Продукты</x:v>
      </x:c>
      <x:c r="D797" s="2" t="str">
        <x:v>Шоколад</x:v>
      </x:c>
      <x:c r="E797" s="7" t="n">
        <x:v>15320.78</x:v>
      </x:c>
      <x:c r="F797" s="9" t="n">
        <x:v>4</x:v>
      </x:c>
      <x:c r="G797" s="2" t="str">
        <x:v>Москва</x:v>
      </x:c>
      <x:c r="H797" s="7" t="n">
        <x:f>E797*F797</x:f>
        <x:v>61283.12</x:v>
      </x:c>
      <x:c r="I797" s="2" t="str">
        <x:f>TEXT(B797,"yyyy-mm")</x:f>
        <x:v>2023-09</x:v>
      </x:c>
      <x:c r="J797" s="8" t="n">
        <x:f>COUNTIFS($H$2:$H$1201,"&gt;"&amp;H797)+COUNTIFS($H$2:H797,H797)</x:f>
        <x:v>1056</x:v>
      </x:c>
      <x:c r="K797" s="1"/>
      <x:c r="L797" s="1"/>
    </x:row>
    <x:row r="798" ht="22" customHeight="1">
      <x:c r="A798" s="8" t="n">
        <x:v>177</x:v>
      </x:c>
      <x:c r="B798" s="6" t="n">
        <x:v>45177</x:v>
      </x:c>
      <x:c r="C798" s="2" t="str">
        <x:v>Электроника</x:v>
      </x:c>
      <x:c r="D798" s="2" t="str">
        <x:v>Смартфон</x:v>
      </x:c>
      <x:c r="E798" s="7" t="n">
        <x:v>50791.88</x:v>
      </x:c>
      <x:c r="F798" s="9" t="n">
        <x:v>7</x:v>
      </x:c>
      <x:c r="G798" s="2" t="str">
        <x:v>Москва</x:v>
      </x:c>
      <x:c r="H798" s="7" t="n">
        <x:f>E798*F798</x:f>
        <x:v>355543.16</x:v>
      </x:c>
      <x:c r="I798" s="2" t="str">
        <x:f>TEXT(B798,"yyyy-mm")</x:f>
        <x:v>2023-09</x:v>
      </x:c>
      <x:c r="J798" s="8" t="n">
        <x:f>COUNTIFS($H$2:$H$1201,"&gt;"&amp;H798)+COUNTIFS($H$2:H798,H798)</x:f>
        <x:v>579</x:v>
      </x:c>
      <x:c r="K798" s="1"/>
      <x:c r="L798" s="1"/>
    </x:row>
    <x:row r="799" ht="22" customHeight="1">
      <x:c r="A799" s="8" t="n">
        <x:v>411</x:v>
      </x:c>
      <x:c r="B799" s="6" t="n">
        <x:v>45177</x:v>
      </x:c>
      <x:c r="C799" s="2" t="str">
        <x:v>Одежда</x:v>
      </x:c>
      <x:c r="D799" s="2" t="str">
        <x:v>Кроссовки</x:v>
      </x:c>
      <x:c r="E799" s="7" t="n">
        <x:v>95831.94</x:v>
      </x:c>
      <x:c r="F799" s="9" t="n">
        <x:v>4</x:v>
      </x:c>
      <x:c r="G799" s="2" t="str">
        <x:v>Новосибирск</x:v>
      </x:c>
      <x:c r="H799" s="7" t="n">
        <x:f>E799*F799</x:f>
        <x:v>383327.76</x:v>
      </x:c>
      <x:c r="I799" s="2" t="str">
        <x:f>TEXT(B799,"yyyy-mm")</x:f>
        <x:v>2023-09</x:v>
      </x:c>
      <x:c r="J799" s="8" t="n">
        <x:f>COUNTIFS($H$2:$H$1201,"&gt;"&amp;H799)+COUNTIFS($H$2:H799,H799)</x:f>
        <x:v>544</x:v>
      </x:c>
      <x:c r="K799" s="1"/>
      <x:c r="L799" s="1"/>
    </x:row>
    <x:row r="800" ht="22" customHeight="1">
      <x:c r="A800" s="8" t="n">
        <x:v>610</x:v>
      </x:c>
      <x:c r="B800" s="6" t="n">
        <x:v>45177</x:v>
      </x:c>
      <x:c r="C800" s="2" t="str">
        <x:v>Одежда</x:v>
      </x:c>
      <x:c r="D800" s="2" t="str">
        <x:v>Джинсы</x:v>
      </x:c>
      <x:c r="E800" s="7" t="n">
        <x:v>65656.31</x:v>
      </x:c>
      <x:c r="F800" s="9" t="n">
        <x:v>1</x:v>
      </x:c>
      <x:c r="G800" s="2" t="str">
        <x:v>Екатеринбург</x:v>
      </x:c>
      <x:c r="H800" s="7" t="n">
        <x:f>E800*F800</x:f>
        <x:v>65656.31</x:v>
      </x:c>
      <x:c r="I800" s="2" t="str">
        <x:f>TEXT(B800,"yyyy-mm")</x:f>
        <x:v>2023-09</x:v>
      </x:c>
      <x:c r="J800" s="8" t="n">
        <x:f>COUNTIFS($H$2:$H$1201,"&gt;"&amp;H800)+COUNTIFS($H$2:H800,H800)</x:f>
        <x:v>1043</x:v>
      </x:c>
      <x:c r="K800" s="1"/>
      <x:c r="L800" s="1"/>
    </x:row>
    <x:row r="801" ht="22" customHeight="1">
      <x:c r="A801" s="8" t="n">
        <x:v>837</x:v>
      </x:c>
      <x:c r="B801" s="6" t="n">
        <x:v>45177</x:v>
      </x:c>
      <x:c r="C801" s="2" t="str">
        <x:v>Одежда</x:v>
      </x:c>
      <x:c r="D801" s="2" t="str">
        <x:v>Футболка</x:v>
      </x:c>
      <x:c r="E801" s="7" t="n">
        <x:v>122996.34</x:v>
      </x:c>
      <x:c r="F801" s="9" t="n">
        <x:v>1</x:v>
      </x:c>
      <x:c r="G801" s="2" t="str">
        <x:v>Санкт‑Петербург</x:v>
      </x:c>
      <x:c r="H801" s="7" t="n">
        <x:f>E801*F801</x:f>
        <x:v>122996.34</x:v>
      </x:c>
      <x:c r="I801" s="2" t="str">
        <x:f>TEXT(B801,"yyyy-mm")</x:f>
        <x:v>2023-09</x:v>
      </x:c>
      <x:c r="J801" s="8" t="n">
        <x:f>COUNTIFS($H$2:$H$1201,"&gt;"&amp;H801)+COUNTIFS($H$2:H801,H801)</x:f>
        <x:v>920</x:v>
      </x:c>
      <x:c r="K801" s="1"/>
      <x:c r="L801" s="1"/>
    </x:row>
    <x:row r="802" ht="22" customHeight="1">
      <x:c r="A802" s="8" t="n">
        <x:v>1165</x:v>
      </x:c>
      <x:c r="B802" s="6" t="n">
        <x:v>45177</x:v>
      </x:c>
      <x:c r="C802" s="2" t="str">
        <x:v>Продукты</x:v>
      </x:c>
      <x:c r="D802" s="2" t="str">
        <x:v>Шоколад</x:v>
      </x:c>
      <x:c r="E802" s="7" t="n">
        <x:v>81660.27</x:v>
      </x:c>
      <x:c r="F802" s="9" t="n">
        <x:v>5</x:v>
      </x:c>
      <x:c r="G802" s="2" t="str">
        <x:v>Новосибирск</x:v>
      </x:c>
      <x:c r="H802" s="7" t="n">
        <x:f>E802*F802</x:f>
        <x:v>408301.35000000003</x:v>
      </x:c>
      <x:c r="I802" s="2" t="str">
        <x:f>TEXT(B802,"yyyy-mm")</x:f>
        <x:v>2023-09</x:v>
      </x:c>
      <x:c r="J802" s="8" t="n">
        <x:f>COUNTIFS($H$2:$H$1201,"&gt;"&amp;H802)+COUNTIFS($H$2:H802,H802)</x:f>
        <x:v>506</x:v>
      </x:c>
      <x:c r="K802" s="1"/>
      <x:c r="L802" s="1"/>
    </x:row>
    <x:row r="803" ht="22" customHeight="1">
      <x:c r="A803" s="8" t="n">
        <x:v>1166</x:v>
      </x:c>
      <x:c r="B803" s="6" t="n">
        <x:v>45177</x:v>
      </x:c>
      <x:c r="C803" s="2" t="str">
        <x:v>Одежда</x:v>
      </x:c>
      <x:c r="D803" s="2" t="str">
        <x:v>Кроссовки</x:v>
      </x:c>
      <x:c r="E803" s="7" t="n">
        <x:v>101322.65</x:v>
      </x:c>
      <x:c r="F803" s="9" t="n">
        <x:v>5</x:v>
      </x:c>
      <x:c r="G803" s="2" t="str">
        <x:v>Москва</x:v>
      </x:c>
      <x:c r="H803" s="7" t="n">
        <x:f>E803*F803</x:f>
        <x:v>506613.25</x:v>
      </x:c>
      <x:c r="I803" s="2" t="str">
        <x:f>TEXT(B803,"yyyy-mm")</x:f>
        <x:v>2023-09</x:v>
      </x:c>
      <x:c r="J803" s="8" t="n">
        <x:f>COUNTIFS($H$2:$H$1201,"&gt;"&amp;H803)+COUNTIFS($H$2:H803,H803)</x:f>
        <x:v>403</x:v>
      </x:c>
      <x:c r="K803" s="1"/>
      <x:c r="L803" s="1"/>
    </x:row>
    <x:row r="804" ht="22" customHeight="1">
      <x:c r="A804" s="8" t="n">
        <x:v>407</x:v>
      </x:c>
      <x:c r="B804" s="6" t="n">
        <x:v>45178</x:v>
      </x:c>
      <x:c r="C804" s="2" t="str">
        <x:v>Продукты</x:v>
      </x:c>
      <x:c r="D804" s="2" t="str">
        <x:v>Кофе</x:v>
      </x:c>
      <x:c r="E804" s="7" t="n">
        <x:v>108938.18</x:v>
      </x:c>
      <x:c r="F804" s="9" t="n">
        <x:v>8</x:v>
      </x:c>
      <x:c r="G804" s="2" t="str">
        <x:v>Новосибирск</x:v>
      </x:c>
      <x:c r="H804" s="7" t="n">
        <x:f>E804*F804</x:f>
        <x:v>871505.44</x:v>
      </x:c>
      <x:c r="I804" s="2" t="str">
        <x:f>TEXT(B804,"yyyy-mm")</x:f>
        <x:v>2023-09</x:v>
      </x:c>
      <x:c r="J804" s="8" t="n">
        <x:f>COUNTIFS($H$2:$H$1201,"&gt;"&amp;H804)+COUNTIFS($H$2:H804,H804)</x:f>
        <x:v>151</x:v>
      </x:c>
      <x:c r="K804" s="1"/>
      <x:c r="L804" s="1"/>
    </x:row>
    <x:row r="805" ht="22" customHeight="1">
      <x:c r="A805" s="8" t="n">
        <x:v>987</x:v>
      </x:c>
      <x:c r="B805" s="6" t="n">
        <x:v>45178</x:v>
      </x:c>
      <x:c r="C805" s="2" t="str">
        <x:v>Товары для дома</x:v>
      </x:c>
      <x:c r="D805" s="2" t="str">
        <x:v>Полотенце</x:v>
      </x:c>
      <x:c r="E805" s="7" t="n">
        <x:v>133968.07</x:v>
      </x:c>
      <x:c r="F805" s="9" t="n">
        <x:v>9</x:v>
      </x:c>
      <x:c r="G805" s="2" t="str">
        <x:v>Казань</x:v>
      </x:c>
      <x:c r="H805" s="7" t="n">
        <x:f>E805*F805</x:f>
        <x:v>1205712.6300000001</x:v>
      </x:c>
      <x:c r="I805" s="2" t="str">
        <x:f>TEXT(B805,"yyyy-mm")</x:f>
        <x:v>2023-09</x:v>
      </x:c>
      <x:c r="J805" s="8" t="n">
        <x:f>COUNTIFS($H$2:$H$1201,"&gt;"&amp;H805)+COUNTIFS($H$2:H805,H805)</x:f>
        <x:v>29</x:v>
      </x:c>
      <x:c r="K805" s="1"/>
      <x:c r="L805" s="1"/>
    </x:row>
    <x:row r="806" ht="22" customHeight="1">
      <x:c r="A806" s="8" t="n">
        <x:v>1092</x:v>
      </x:c>
      <x:c r="B806" s="6" t="n">
        <x:v>45178</x:v>
      </x:c>
      <x:c r="C806" s="2" t="str">
        <x:v>Товары для дома</x:v>
      </x:c>
      <x:c r="D806" s="2" t="str">
        <x:v>Плед</x:v>
      </x:c>
      <x:c r="E806" s="7" t="n">
        <x:v>18663.68</x:v>
      </x:c>
      <x:c r="F806" s="9" t="n">
        <x:v>6</x:v>
      </x:c>
      <x:c r="G806" s="2" t="str">
        <x:v>Москва</x:v>
      </x:c>
      <x:c r="H806" s="7" t="n">
        <x:f>E806*F806</x:f>
        <x:v>111982.08</x:v>
      </x:c>
      <x:c r="I806" s="2" t="str">
        <x:f>TEXT(B806,"yyyy-mm")</x:f>
        <x:v>2023-09</x:v>
      </x:c>
      <x:c r="J806" s="8" t="n">
        <x:f>COUNTIFS($H$2:$H$1201,"&gt;"&amp;H806)+COUNTIFS($H$2:H806,H806)</x:f>
        <x:v>947</x:v>
      </x:c>
      <x:c r="K806" s="1"/>
      <x:c r="L806" s="1"/>
    </x:row>
    <x:row r="807" ht="22" customHeight="1">
      <x:c r="A807" s="8" t="n">
        <x:v>175</x:v>
      </x:c>
      <x:c r="B807" s="6" t="n">
        <x:v>45179</x:v>
      </x:c>
      <x:c r="C807" s="2" t="str">
        <x:v>Продукты</x:v>
      </x:c>
      <x:c r="D807" s="2" t="str">
        <x:v>Шоколад</x:v>
      </x:c>
      <x:c r="E807" s="7" t="n">
        <x:v>78215.7</x:v>
      </x:c>
      <x:c r="F807" s="9" t="n">
        <x:v>8</x:v>
      </x:c>
      <x:c r="G807" s="2" t="str">
        <x:v>Московская область</x:v>
      </x:c>
      <x:c r="H807" s="7" t="n">
        <x:f>E807*F807</x:f>
        <x:v>625725.6</x:v>
      </x:c>
      <x:c r="I807" s="2" t="str">
        <x:f>TEXT(B807,"yyyy-mm")</x:f>
        <x:v>2023-09</x:v>
      </x:c>
      <x:c r="J807" s="8" t="n">
        <x:f>COUNTIFS($H$2:$H$1201,"&gt;"&amp;H807)+COUNTIFS($H$2:H807,H807)</x:f>
        <x:v>305</x:v>
      </x:c>
      <x:c r="K807" s="1"/>
      <x:c r="L807" s="1"/>
    </x:row>
    <x:row r="808" ht="22" customHeight="1">
      <x:c r="A808" s="8" t="n">
        <x:v>305</x:v>
      </x:c>
      <x:c r="B808" s="6" t="n">
        <x:v>45179</x:v>
      </x:c>
      <x:c r="C808" s="2" t="str">
        <x:v>Товары для дома</x:v>
      </x:c>
      <x:c r="D808" s="2" t="str">
        <x:v>Кружка</x:v>
      </x:c>
      <x:c r="E808" s="7" t="n">
        <x:v>131499.72</x:v>
      </x:c>
      <x:c r="F808" s="9" t="n">
        <x:v>2</x:v>
      </x:c>
      <x:c r="G808" s="2" t="str">
        <x:v>Санкт‑Петербург</x:v>
      </x:c>
      <x:c r="H808" s="7" t="n">
        <x:f>E808*F808</x:f>
        <x:v>262999.44</x:v>
      </x:c>
      <x:c r="I808" s="2" t="str">
        <x:f>TEXT(B808,"yyyy-mm")</x:f>
        <x:v>2023-09</x:v>
      </x:c>
      <x:c r="J808" s="8" t="n">
        <x:f>COUNTIFS($H$2:$H$1201,"&gt;"&amp;H808)+COUNTIFS($H$2:H808,H808)</x:f>
        <x:v>682</x:v>
      </x:c>
      <x:c r="K808" s="1"/>
      <x:c r="L808" s="1"/>
    </x:row>
    <x:row r="809" ht="22" customHeight="1">
      <x:c r="A809" s="8" t="n">
        <x:v>315</x:v>
      </x:c>
      <x:c r="B809" s="6" t="n">
        <x:v>45179</x:v>
      </x:c>
      <x:c r="C809" s="2" t="str">
        <x:v>Продукты</x:v>
      </x:c>
      <x:c r="D809" s="2" t="str">
        <x:v>Молоко</x:v>
      </x:c>
      <x:c r="E809" s="7" t="n">
        <x:v>45316.4</x:v>
      </x:c>
      <x:c r="F809" s="9" t="n">
        <x:v>1</x:v>
      </x:c>
      <x:c r="G809" s="2" t="str">
        <x:v>Московская область</x:v>
      </x:c>
      <x:c r="H809" s="7" t="n">
        <x:f>E809*F809</x:f>
        <x:v>45316.4</x:v>
      </x:c>
      <x:c r="I809" s="2" t="str">
        <x:f>TEXT(B809,"yyyy-mm")</x:f>
        <x:v>2023-09</x:v>
      </x:c>
      <x:c r="J809" s="8" t="n">
        <x:f>COUNTIFS($H$2:$H$1201,"&gt;"&amp;H809)+COUNTIFS($H$2:H809,H809)</x:f>
        <x:v>1096</x:v>
      </x:c>
      <x:c r="K809" s="1"/>
      <x:c r="L809" s="1"/>
    </x:row>
    <x:row r="810" ht="22" customHeight="1">
      <x:c r="A810" s="8" t="n">
        <x:v>335</x:v>
      </x:c>
      <x:c r="B810" s="6" t="n">
        <x:v>45179</x:v>
      </x:c>
      <x:c r="C810" s="2" t="str">
        <x:v>Товары для дома</x:v>
      </x:c>
      <x:c r="D810" s="2" t="str">
        <x:v>Плед</x:v>
      </x:c>
      <x:c r="E810" s="7" t="n">
        <x:v>141084.95</x:v>
      </x:c>
      <x:c r="F810" s="9" t="n">
        <x:v>7</x:v>
      </x:c>
      <x:c r="G810" s="2" t="str">
        <x:v>Новосибирск</x:v>
      </x:c>
      <x:c r="H810" s="7" t="n">
        <x:f>E810*F810</x:f>
        <x:v>987594.6500000001</x:v>
      </x:c>
      <x:c r="I810" s="2" t="str">
        <x:f>TEXT(B810,"yyyy-mm")</x:f>
        <x:v>2023-09</x:v>
      </x:c>
      <x:c r="J810" s="8" t="n">
        <x:f>COUNTIFS($H$2:$H$1201,"&gt;"&amp;H810)+COUNTIFS($H$2:H810,H810)</x:f>
        <x:v>94</x:v>
      </x:c>
      <x:c r="K810" s="1"/>
      <x:c r="L810" s="1"/>
    </x:row>
    <x:row r="811" ht="22" customHeight="1">
      <x:c r="A811" s="8" t="n">
        <x:v>495</x:v>
      </x:c>
      <x:c r="B811" s="6" t="n">
        <x:v>45179</x:v>
      </x:c>
      <x:c r="C811" s="2" t="str">
        <x:v>Товары для дома</x:v>
      </x:c>
      <x:c r="D811" s="2" t="str">
        <x:v>Плед</x:v>
      </x:c>
      <x:c r="E811" s="7" t="n">
        <x:v>80902.25</x:v>
      </x:c>
      <x:c r="F811" s="9" t="n">
        <x:v>7</x:v>
      </x:c>
      <x:c r="G811" s="2" t="str">
        <x:v>Москва</x:v>
      </x:c>
      <x:c r="H811" s="7" t="n">
        <x:f>E811*F811</x:f>
        <x:v>566315.75</x:v>
      </x:c>
      <x:c r="I811" s="2" t="str">
        <x:f>TEXT(B811,"yyyy-mm")</x:f>
        <x:v>2023-09</x:v>
      </x:c>
      <x:c r="J811" s="8" t="n">
        <x:f>COUNTIFS($H$2:$H$1201,"&gt;"&amp;H811)+COUNTIFS($H$2:H811,H811)</x:f>
        <x:v>355</x:v>
      </x:c>
      <x:c r="K811" s="1"/>
      <x:c r="L811" s="1"/>
    </x:row>
    <x:row r="812" ht="22" customHeight="1">
      <x:c r="A812" s="8" t="n">
        <x:v>144</x:v>
      </x:c>
      <x:c r="B812" s="6" t="n">
        <x:v>45180</x:v>
      </x:c>
      <x:c r="C812" s="2" t="str">
        <x:v>Продукты</x:v>
      </x:c>
      <x:c r="D812" s="2" t="str">
        <x:v>Кофе</x:v>
      </x:c>
      <x:c r="E812" s="7" t="n">
        <x:v>121700.28</x:v>
      </x:c>
      <x:c r="F812" s="9" t="n">
        <x:v>2</x:v>
      </x:c>
      <x:c r="G812" s="2" t="str">
        <x:v>Московская область</x:v>
      </x:c>
      <x:c r="H812" s="7" t="n">
        <x:f>E812*F812</x:f>
        <x:v>243400.56</x:v>
      </x:c>
      <x:c r="I812" s="2" t="str">
        <x:f>TEXT(B812,"yyyy-mm")</x:f>
        <x:v>2023-09</x:v>
      </x:c>
      <x:c r="J812" s="8" t="n">
        <x:f>COUNTIFS($H$2:$H$1201,"&gt;"&amp;H812)+COUNTIFS($H$2:H812,H812)</x:f>
        <x:v>715</x:v>
      </x:c>
      <x:c r="K812" s="1"/>
      <x:c r="L812" s="1"/>
    </x:row>
    <x:row r="813" ht="22" customHeight="1">
      <x:c r="A813" s="8" t="n">
        <x:v>1006</x:v>
      </x:c>
      <x:c r="B813" s="6" t="n">
        <x:v>45180</x:v>
      </x:c>
      <x:c r="C813" s="2" t="str">
        <x:v>Продукты</x:v>
      </x:c>
      <x:c r="D813" s="2" t="str">
        <x:v>Шоколад</x:v>
      </x:c>
      <x:c r="E813" s="7" t="n">
        <x:v>28965.38</x:v>
      </x:c>
      <x:c r="F813" s="9" t="n">
        <x:v>6</x:v>
      </x:c>
      <x:c r="G813" s="2" t="str">
        <x:v>Москва</x:v>
      </x:c>
      <x:c r="H813" s="7" t="n">
        <x:f>E813*F813</x:f>
        <x:v>173792.28</x:v>
      </x:c>
      <x:c r="I813" s="2" t="str">
        <x:f>TEXT(B813,"yyyy-mm")</x:f>
        <x:v>2023-09</x:v>
      </x:c>
      <x:c r="J813" s="8" t="n">
        <x:f>COUNTIFS($H$2:$H$1201,"&gt;"&amp;H813)+COUNTIFS($H$2:H813,H813)</x:f>
        <x:v>821</x:v>
      </x:c>
      <x:c r="K813" s="1"/>
      <x:c r="L813" s="1"/>
    </x:row>
    <x:row r="814" ht="22" customHeight="1">
      <x:c r="A814" s="8" t="n">
        <x:v>93</x:v>
      </x:c>
      <x:c r="B814" s="6" t="n">
        <x:v>45181</x:v>
      </x:c>
      <x:c r="C814" s="2" t="str">
        <x:v>Электроника</x:v>
      </x:c>
      <x:c r="D814" s="2" t="str">
        <x:v>Смартфон</x:v>
      </x:c>
      <x:c r="E814" s="7" t="n">
        <x:v>145221.51</x:v>
      </x:c>
      <x:c r="F814" s="9" t="n">
        <x:v>7</x:v>
      </x:c>
      <x:c r="G814" s="2" t="str">
        <x:v>Московская область</x:v>
      </x:c>
      <x:c r="H814" s="7" t="n">
        <x:f>E814*F814</x:f>
        <x:v>1016550.5700000001</x:v>
      </x:c>
      <x:c r="I814" s="2" t="str">
        <x:f>TEXT(B814,"yyyy-mm")</x:f>
        <x:v>2023-09</x:v>
      </x:c>
      <x:c r="J814" s="8" t="n">
        <x:f>COUNTIFS($H$2:$H$1201,"&gt;"&amp;H814)+COUNTIFS($H$2:H814,H814)</x:f>
        <x:v>84</x:v>
      </x:c>
      <x:c r="K814" s="1"/>
      <x:c r="L814" s="1"/>
    </x:row>
    <x:row r="815" ht="22" customHeight="1">
      <x:c r="A815" s="8" t="n">
        <x:v>757</x:v>
      </x:c>
      <x:c r="B815" s="6" t="n">
        <x:v>45181</x:v>
      </x:c>
      <x:c r="C815" s="2" t="str">
        <x:v>Одежда</x:v>
      </x:c>
      <x:c r="D815" s="2" t="str">
        <x:v>Футболка</x:v>
      </x:c>
      <x:c r="E815" s="7" t="n">
        <x:v>26585.21</x:v>
      </x:c>
      <x:c r="F815" s="9" t="n">
        <x:v>5</x:v>
      </x:c>
      <x:c r="G815" s="2" t="str">
        <x:v>Казань</x:v>
      </x:c>
      <x:c r="H815" s="7" t="n">
        <x:f>E815*F815</x:f>
        <x:v>132926.05</x:v>
      </x:c>
      <x:c r="I815" s="2" t="str">
        <x:f>TEXT(B815,"yyyy-mm")</x:f>
        <x:v>2023-09</x:v>
      </x:c>
      <x:c r="J815" s="8" t="n">
        <x:f>COUNTIFS($H$2:$H$1201,"&gt;"&amp;H815)+COUNTIFS($H$2:H815,H815)</x:f>
        <x:v>898</x:v>
      </x:c>
      <x:c r="K815" s="1"/>
      <x:c r="L815" s="1"/>
    </x:row>
    <x:row r="816" ht="22" customHeight="1">
      <x:c r="A816" s="8" t="n">
        <x:v>135</x:v>
      </x:c>
      <x:c r="B816" s="6" t="n">
        <x:v>45182</x:v>
      </x:c>
      <x:c r="C816" s="2" t="str">
        <x:v>Одежда</x:v>
      </x:c>
      <x:c r="D816" s="2" t="str">
        <x:v>Кроссовки</x:v>
      </x:c>
      <x:c r="E816" s="7" t="n">
        <x:v>141931.87</x:v>
      </x:c>
      <x:c r="F816" s="9" t="n">
        <x:v>9</x:v>
      </x:c>
      <x:c r="G816" s="2" t="str">
        <x:v>Санкт‑Петербург</x:v>
      </x:c>
      <x:c r="H816" s="7" t="n">
        <x:f>E816*F816</x:f>
        <x:v>1277386.83</x:v>
      </x:c>
      <x:c r="I816" s="2" t="str">
        <x:f>TEXT(B816,"yyyy-mm")</x:f>
        <x:v>2023-09</x:v>
      </x:c>
      <x:c r="J816" s="8" t="n">
        <x:f>COUNTIFS($H$2:$H$1201,"&gt;"&amp;H816)+COUNTIFS($H$2:H816,H816)</x:f>
        <x:v>20</x:v>
      </x:c>
      <x:c r="K816" s="1"/>
      <x:c r="L816" s="1"/>
    </x:row>
    <x:row r="817" ht="22" customHeight="1">
      <x:c r="A817" s="8" t="n">
        <x:v>1046</x:v>
      </x:c>
      <x:c r="B817" s="6" t="n">
        <x:v>45182</x:v>
      </x:c>
      <x:c r="C817" s="2" t="str">
        <x:v>Продукты</x:v>
      </x:c>
      <x:c r="D817" s="2" t="str">
        <x:v>Хлеб</x:v>
      </x:c>
      <x:c r="E817" s="7" t="n">
        <x:v>99269.74</x:v>
      </x:c>
      <x:c r="F817" s="9" t="n">
        <x:v>4</x:v>
      </x:c>
      <x:c r="G817" s="2" t="str">
        <x:v>Московская область</x:v>
      </x:c>
      <x:c r="H817" s="7" t="n">
        <x:f>E817*F817</x:f>
        <x:v>397078.96</x:v>
      </x:c>
      <x:c r="I817" s="2" t="str">
        <x:f>TEXT(B817,"yyyy-mm")</x:f>
        <x:v>2023-09</x:v>
      </x:c>
      <x:c r="J817" s="8" t="n">
        <x:f>COUNTIFS($H$2:$H$1201,"&gt;"&amp;H817)+COUNTIFS($H$2:H817,H817)</x:f>
        <x:v>521</x:v>
      </x:c>
      <x:c r="K817" s="1"/>
      <x:c r="L817" s="1"/>
    </x:row>
    <x:row r="818" ht="22" customHeight="1">
      <x:c r="A818" s="8" t="n">
        <x:v>1109</x:v>
      </x:c>
      <x:c r="B818" s="6" t="n">
        <x:v>45183</x:v>
      </x:c>
      <x:c r="C818" s="2" t="str">
        <x:v>Электроника</x:v>
      </x:c>
      <x:c r="D818" s="2" t="str">
        <x:v>Планшет</x:v>
      </x:c>
      <x:c r="E818" s="7" t="n">
        <x:v>111039.45</x:v>
      </x:c>
      <x:c r="F818" s="9" t="n">
        <x:v>4</x:v>
      </x:c>
      <x:c r="G818" s="2" t="str">
        <x:v>Казань</x:v>
      </x:c>
      <x:c r="H818" s="7" t="n">
        <x:f>E818*F818</x:f>
        <x:v>444157.8</x:v>
      </x:c>
      <x:c r="I818" s="2" t="str">
        <x:f>TEXT(B818,"yyyy-mm")</x:f>
        <x:v>2023-09</x:v>
      </x:c>
      <x:c r="J818" s="8" t="n">
        <x:f>COUNTIFS($H$2:$H$1201,"&gt;"&amp;H818)+COUNTIFS($H$2:H818,H818)</x:f>
        <x:v>459</x:v>
      </x:c>
      <x:c r="K818" s="1"/>
      <x:c r="L818" s="1"/>
    </x:row>
    <x:row r="819" ht="22" customHeight="1">
      <x:c r="A819" s="8" t="n">
        <x:v>311</x:v>
      </x:c>
      <x:c r="B819" s="6" t="n">
        <x:v>45184</x:v>
      </x:c>
      <x:c r="C819" s="2" t="str">
        <x:v>Товары для дома</x:v>
      </x:c>
      <x:c r="D819" s="2" t="str">
        <x:v>Подушка</x:v>
      </x:c>
      <x:c r="E819" s="7" t="n">
        <x:v>84614.88</x:v>
      </x:c>
      <x:c r="F819" s="9" t="n">
        <x:v>6</x:v>
      </x:c>
      <x:c r="G819" s="2" t="str">
        <x:v>Московская область</x:v>
      </x:c>
      <x:c r="H819" s="7" t="n">
        <x:f>E819*F819</x:f>
        <x:v>507689.28</x:v>
      </x:c>
      <x:c r="I819" s="2" t="str">
        <x:f>TEXT(B819,"yyyy-mm")</x:f>
        <x:v>2023-09</x:v>
      </x:c>
      <x:c r="J819" s="8" t="n">
        <x:f>COUNTIFS($H$2:$H$1201,"&gt;"&amp;H819)+COUNTIFS($H$2:H819,H819)</x:f>
        <x:v>401</x:v>
      </x:c>
      <x:c r="K819" s="1"/>
      <x:c r="L819" s="1"/>
    </x:row>
    <x:row r="820" ht="22" customHeight="1">
      <x:c r="A820" s="8" t="n">
        <x:v>370</x:v>
      </x:c>
      <x:c r="B820" s="6" t="n">
        <x:v>45184</x:v>
      </x:c>
      <x:c r="C820" s="2" t="str">
        <x:v>Продукты</x:v>
      </x:c>
      <x:c r="D820" s="2" t="str">
        <x:v>Хлеб</x:v>
      </x:c>
      <x:c r="E820" s="7" t="n">
        <x:v>49146.97</x:v>
      </x:c>
      <x:c r="F820" s="9" t="n">
        <x:v>9</x:v>
      </x:c>
      <x:c r="G820" s="2" t="str">
        <x:v>Казань</x:v>
      </x:c>
      <x:c r="H820" s="7" t="n">
        <x:f>E820*F820</x:f>
        <x:v>442322.73</x:v>
      </x:c>
      <x:c r="I820" s="2" t="str">
        <x:f>TEXT(B820,"yyyy-mm")</x:f>
        <x:v>2023-09</x:v>
      </x:c>
      <x:c r="J820" s="8" t="n">
        <x:f>COUNTIFS($H$2:$H$1201,"&gt;"&amp;H820)+COUNTIFS($H$2:H820,H820)</x:f>
        <x:v>463</x:v>
      </x:c>
      <x:c r="K820" s="1"/>
      <x:c r="L820" s="1"/>
    </x:row>
    <x:row r="821" ht="22" customHeight="1">
      <x:c r="A821" s="8" t="n">
        <x:v>819</x:v>
      </x:c>
      <x:c r="B821" s="6" t="n">
        <x:v>45184</x:v>
      </x:c>
      <x:c r="C821" s="2" t="str">
        <x:v>Товары для дома</x:v>
      </x:c>
      <x:c r="D821" s="2" t="str">
        <x:v>Плед</x:v>
      </x:c>
      <x:c r="E821" s="7" t="n">
        <x:v>45038.16</x:v>
      </x:c>
      <x:c r="F821" s="9" t="n">
        <x:v>5</x:v>
      </x:c>
      <x:c r="G821" s="2" t="str">
        <x:v>Казань</x:v>
      </x:c>
      <x:c r="H821" s="7" t="n">
        <x:f>E821*F821</x:f>
        <x:v>225190.80000000002</x:v>
      </x:c>
      <x:c r="I821" s="2" t="str">
        <x:f>TEXT(B821,"yyyy-mm")</x:f>
        <x:v>2023-09</x:v>
      </x:c>
      <x:c r="J821" s="8" t="n">
        <x:f>COUNTIFS($H$2:$H$1201,"&gt;"&amp;H821)+COUNTIFS($H$2:H821,H821)</x:f>
        <x:v>743</x:v>
      </x:c>
      <x:c r="K821" s="1"/>
      <x:c r="L821" s="1"/>
    </x:row>
    <x:row r="822" ht="22" customHeight="1">
      <x:c r="A822" s="8" t="n">
        <x:v>1144</x:v>
      </x:c>
      <x:c r="B822" s="6" t="n">
        <x:v>45186</x:v>
      </x:c>
      <x:c r="C822" s="2" t="str">
        <x:v>Одежда</x:v>
      </x:c>
      <x:c r="D822" s="2" t="str">
        <x:v>Куртка</x:v>
      </x:c>
      <x:c r="E822" s="7" t="n">
        <x:v>122982.34</x:v>
      </x:c>
      <x:c r="F822" s="9" t="n">
        <x:v>7</x:v>
      </x:c>
      <x:c r="G822" s="2" t="str">
        <x:v>Казань</x:v>
      </x:c>
      <x:c r="H822" s="7" t="n">
        <x:f>E822*F822</x:f>
        <x:v>860876.38</x:v>
      </x:c>
      <x:c r="I822" s="2" t="str">
        <x:f>TEXT(B822,"yyyy-mm")</x:f>
        <x:v>2023-09</x:v>
      </x:c>
      <x:c r="J822" s="8" t="n">
        <x:f>COUNTIFS($H$2:$H$1201,"&gt;"&amp;H822)+COUNTIFS($H$2:H822,H822)</x:f>
        <x:v>158</x:v>
      </x:c>
      <x:c r="K822" s="1"/>
      <x:c r="L822" s="1"/>
    </x:row>
    <x:row r="823" ht="22" customHeight="1">
      <x:c r="A823" s="8" t="n">
        <x:v>143</x:v>
      </x:c>
      <x:c r="B823" s="6" t="n">
        <x:v>45187</x:v>
      </x:c>
      <x:c r="C823" s="2" t="str">
        <x:v>Продукты</x:v>
      </x:c>
      <x:c r="D823" s="2" t="str">
        <x:v>Шоколад</x:v>
      </x:c>
      <x:c r="E823" s="7" t="n">
        <x:v>78566.75</x:v>
      </x:c>
      <x:c r="F823" s="9" t="n">
        <x:v>5</x:v>
      </x:c>
      <x:c r="G823" s="2" t="str">
        <x:v>Новосибирск</x:v>
      </x:c>
      <x:c r="H823" s="7" t="n">
        <x:f>E823*F823</x:f>
        <x:v>392833.75</x:v>
      </x:c>
      <x:c r="I823" s="2" t="str">
        <x:f>TEXT(B823,"yyyy-mm")</x:f>
        <x:v>2023-09</x:v>
      </x:c>
      <x:c r="J823" s="8" t="n">
        <x:f>COUNTIFS($H$2:$H$1201,"&gt;"&amp;H823)+COUNTIFS($H$2:H823,H823)</x:f>
        <x:v>533</x:v>
      </x:c>
      <x:c r="K823" s="1"/>
      <x:c r="L823" s="1"/>
    </x:row>
    <x:row r="824" ht="22" customHeight="1">
      <x:c r="A824" s="8" t="n">
        <x:v>946</x:v>
      </x:c>
      <x:c r="B824" s="6" t="n">
        <x:v>45187</x:v>
      </x:c>
      <x:c r="C824" s="2" t="str">
        <x:v>Одежда</x:v>
      </x:c>
      <x:c r="D824" s="2" t="str">
        <x:v>Джинсы</x:v>
      </x:c>
      <x:c r="E824" s="7" t="n">
        <x:v>13454.17</x:v>
      </x:c>
      <x:c r="F824" s="9" t="n">
        <x:v>2</x:v>
      </x:c>
      <x:c r="G824" s="2" t="str">
        <x:v>Санкт‑Петербург</x:v>
      </x:c>
      <x:c r="H824" s="7" t="n">
        <x:f>E824*F824</x:f>
        <x:v>26908.34</x:v>
      </x:c>
      <x:c r="I824" s="2" t="str">
        <x:f>TEXT(B824,"yyyy-mm")</x:f>
        <x:v>2023-09</x:v>
      </x:c>
      <x:c r="J824" s="8" t="n">
        <x:f>COUNTIFS($H$2:$H$1201,"&gt;"&amp;H824)+COUNTIFS($H$2:H824,H824)</x:f>
        <x:v>1136</x:v>
      </x:c>
      <x:c r="K824" s="1"/>
      <x:c r="L824" s="1"/>
    </x:row>
    <x:row r="825" ht="22" customHeight="1">
      <x:c r="A825" s="8" t="n">
        <x:v>1038</x:v>
      </x:c>
      <x:c r="B825" s="6" t="n">
        <x:v>45187</x:v>
      </x:c>
      <x:c r="C825" s="2" t="str">
        <x:v>Товары для дома</x:v>
      </x:c>
      <x:c r="D825" s="2" t="str">
        <x:v>Плед</x:v>
      </x:c>
      <x:c r="E825" s="7" t="n">
        <x:v>13215.39</x:v>
      </x:c>
      <x:c r="F825" s="9" t="n">
        <x:v>9</x:v>
      </x:c>
      <x:c r="G825" s="2" t="str">
        <x:v>Екатеринбург</x:v>
      </x:c>
      <x:c r="H825" s="7" t="n">
        <x:f>E825*F825</x:f>
        <x:v>118938.51</x:v>
      </x:c>
      <x:c r="I825" s="2" t="str">
        <x:f>TEXT(B825,"yyyy-mm")</x:f>
        <x:v>2023-09</x:v>
      </x:c>
      <x:c r="J825" s="8" t="n">
        <x:f>COUNTIFS($H$2:$H$1201,"&gt;"&amp;H825)+COUNTIFS($H$2:H825,H825)</x:f>
        <x:v>929</x:v>
      </x:c>
      <x:c r="K825" s="1"/>
      <x:c r="L825" s="1"/>
    </x:row>
    <x:row r="826" ht="22" customHeight="1">
      <x:c r="A826" s="8" t="n">
        <x:v>1122</x:v>
      </x:c>
      <x:c r="B826" s="6" t="n">
        <x:v>45187</x:v>
      </x:c>
      <x:c r="C826" s="2" t="str">
        <x:v>Одежда</x:v>
      </x:c>
      <x:c r="D826" s="2" t="str">
        <x:v>Куртка</x:v>
      </x:c>
      <x:c r="E826" s="7" t="n">
        <x:v>29718.32</x:v>
      </x:c>
      <x:c r="F826" s="9" t="n">
        <x:v>8</x:v>
      </x:c>
      <x:c r="G826" s="2" t="str">
        <x:v>Новосибирск</x:v>
      </x:c>
      <x:c r="H826" s="7" t="n">
        <x:f>E826*F826</x:f>
        <x:v>237746.56</x:v>
      </x:c>
      <x:c r="I826" s="2" t="str">
        <x:f>TEXT(B826,"yyyy-mm")</x:f>
        <x:v>2023-09</x:v>
      </x:c>
      <x:c r="J826" s="8" t="n">
        <x:f>COUNTIFS($H$2:$H$1201,"&gt;"&amp;H826)+COUNTIFS($H$2:H826,H826)</x:f>
        <x:v>727</x:v>
      </x:c>
      <x:c r="K826" s="1"/>
      <x:c r="L826" s="1"/>
    </x:row>
    <x:row r="827" ht="22" customHeight="1">
      <x:c r="A827" s="8" t="n">
        <x:v>1130</x:v>
      </x:c>
      <x:c r="B827" s="6" t="n">
        <x:v>45187</x:v>
      </x:c>
      <x:c r="C827" s="2" t="str">
        <x:v>Товары для дома</x:v>
      </x:c>
      <x:c r="D827" s="2" t="str">
        <x:v>Подушка</x:v>
      </x:c>
      <x:c r="E827" s="7" t="n">
        <x:v>107235.25</x:v>
      </x:c>
      <x:c r="F827" s="9" t="n">
        <x:v>1</x:v>
      </x:c>
      <x:c r="G827" s="2" t="str">
        <x:v>Московская область</x:v>
      </x:c>
      <x:c r="H827" s="7" t="n">
        <x:f>E827*F827</x:f>
        <x:v>107235.25</x:v>
      </x:c>
      <x:c r="I827" s="2" t="str">
        <x:f>TEXT(B827,"yyyy-mm")</x:f>
        <x:v>2023-09</x:v>
      </x:c>
      <x:c r="J827" s="8" t="n">
        <x:f>COUNTIFS($H$2:$H$1201,"&gt;"&amp;H827)+COUNTIFS($H$2:H827,H827)</x:f>
        <x:v>957</x:v>
      </x:c>
      <x:c r="K827" s="1"/>
      <x:c r="L827" s="1"/>
    </x:row>
    <x:row r="828" ht="22" customHeight="1">
      <x:c r="A828" s="8" t="n">
        <x:v>1158</x:v>
      </x:c>
      <x:c r="B828" s="6" t="n">
        <x:v>45187</x:v>
      </x:c>
      <x:c r="C828" s="2" t="str">
        <x:v>Одежда</x:v>
      </x:c>
      <x:c r="D828" s="2" t="str">
        <x:v>Кроссовки</x:v>
      </x:c>
      <x:c r="E828" s="7" t="n">
        <x:v>87046.97</x:v>
      </x:c>
      <x:c r="F828" s="9" t="n">
        <x:v>7</x:v>
      </x:c>
      <x:c r="G828" s="2" t="str">
        <x:v>Санкт‑Петербург</x:v>
      </x:c>
      <x:c r="H828" s="7" t="n">
        <x:f>E828*F828</x:f>
        <x:v>609328.79</x:v>
      </x:c>
      <x:c r="I828" s="2" t="str">
        <x:f>TEXT(B828,"yyyy-mm")</x:f>
        <x:v>2023-09</x:v>
      </x:c>
      <x:c r="J828" s="8" t="n">
        <x:f>COUNTIFS($H$2:$H$1201,"&gt;"&amp;H828)+COUNTIFS($H$2:H828,H828)</x:f>
        <x:v>312</x:v>
      </x:c>
      <x:c r="K828" s="1"/>
      <x:c r="L828" s="1"/>
    </x:row>
    <x:row r="829" ht="22" customHeight="1">
      <x:c r="A829" s="8" t="n">
        <x:v>188</x:v>
      </x:c>
      <x:c r="B829" s="6" t="n">
        <x:v>45188</x:v>
      </x:c>
      <x:c r="C829" s="2" t="str">
        <x:v>Товары для дома</x:v>
      </x:c>
      <x:c r="D829" s="2" t="str">
        <x:v>Кружка</x:v>
      </x:c>
      <x:c r="E829" s="7" t="n">
        <x:v>57510.61</x:v>
      </x:c>
      <x:c r="F829" s="9" t="n">
        <x:v>10</x:v>
      </x:c>
      <x:c r="G829" s="2" t="str">
        <x:v>Екатеринбург</x:v>
      </x:c>
      <x:c r="H829" s="7" t="n">
        <x:f>E829*F829</x:f>
        <x:v>575106.1</x:v>
      </x:c>
      <x:c r="I829" s="2" t="str">
        <x:f>TEXT(B829,"yyyy-mm")</x:f>
        <x:v>2023-09</x:v>
      </x:c>
      <x:c r="J829" s="8" t="n">
        <x:f>COUNTIFS($H$2:$H$1201,"&gt;"&amp;H829)+COUNTIFS($H$2:H829,H829)</x:f>
        <x:v>339</x:v>
      </x:c>
      <x:c r="K829" s="1"/>
      <x:c r="L829" s="1"/>
    </x:row>
    <x:row r="830" ht="22" customHeight="1">
      <x:c r="A830" s="8" t="n">
        <x:v>700</x:v>
      </x:c>
      <x:c r="B830" s="6" t="n">
        <x:v>45188</x:v>
      </x:c>
      <x:c r="C830" s="2" t="str">
        <x:v>Одежда</x:v>
      </x:c>
      <x:c r="D830" s="2" t="str">
        <x:v>Кроссовки</x:v>
      </x:c>
      <x:c r="E830" s="7" t="n">
        <x:v>6087.86</x:v>
      </x:c>
      <x:c r="F830" s="9" t="n">
        <x:v>4</x:v>
      </x:c>
      <x:c r="G830" s="2" t="str">
        <x:v>Москва</x:v>
      </x:c>
      <x:c r="H830" s="7" t="n">
        <x:f>E830*F830</x:f>
        <x:v>24351.44</x:v>
      </x:c>
      <x:c r="I830" s="2" t="str">
        <x:f>TEXT(B830,"yyyy-mm")</x:f>
        <x:v>2023-09</x:v>
      </x:c>
      <x:c r="J830" s="8" t="n">
        <x:f>COUNTIFS($H$2:$H$1201,"&gt;"&amp;H830)+COUNTIFS($H$2:H830,H830)</x:f>
        <x:v>1144</x:v>
      </x:c>
      <x:c r="K830" s="1"/>
      <x:c r="L830" s="1"/>
    </x:row>
    <x:row r="831" ht="22" customHeight="1">
      <x:c r="A831" s="8" t="n">
        <x:v>163</x:v>
      </x:c>
      <x:c r="B831" s="6" t="n">
        <x:v>45189</x:v>
      </x:c>
      <x:c r="C831" s="2" t="str">
        <x:v>Продукты</x:v>
      </x:c>
      <x:c r="D831" s="2" t="str">
        <x:v>Хлеб</x:v>
      </x:c>
      <x:c r="E831" s="7" t="n">
        <x:v>49947.61</x:v>
      </x:c>
      <x:c r="F831" s="9" t="n">
        <x:v>10</x:v>
      </x:c>
      <x:c r="G831" s="2" t="str">
        <x:v>Екатеринбург</x:v>
      </x:c>
      <x:c r="H831" s="7" t="n">
        <x:f>E831*F831</x:f>
        <x:v>499476.1</x:v>
      </x:c>
      <x:c r="I831" s="2" t="str">
        <x:f>TEXT(B831,"yyyy-mm")</x:f>
        <x:v>2023-09</x:v>
      </x:c>
      <x:c r="J831" s="8" t="n">
        <x:f>COUNTIFS($H$2:$H$1201,"&gt;"&amp;H831)+COUNTIFS($H$2:H831,H831)</x:f>
        <x:v>410</x:v>
      </x:c>
      <x:c r="K831" s="1"/>
      <x:c r="L831" s="1"/>
    </x:row>
    <x:row r="832" ht="22" customHeight="1">
      <x:c r="A832" s="8" t="n">
        <x:v>785</x:v>
      </x:c>
      <x:c r="B832" s="6" t="n">
        <x:v>45189</x:v>
      </x:c>
      <x:c r="C832" s="2" t="str">
        <x:v>Товары для дома</x:v>
      </x:c>
      <x:c r="D832" s="2" t="str">
        <x:v>Полотенце</x:v>
      </x:c>
      <x:c r="E832" s="7" t="n">
        <x:v>63698.58</x:v>
      </x:c>
      <x:c r="F832" s="9" t="n">
        <x:v>9</x:v>
      </x:c>
      <x:c r="G832" s="2" t="str">
        <x:v>Екатеринбург</x:v>
      </x:c>
      <x:c r="H832" s="7" t="n">
        <x:f>E832*F832</x:f>
        <x:v>573287.22</x:v>
      </x:c>
      <x:c r="I832" s="2" t="str">
        <x:f>TEXT(B832,"yyyy-mm")</x:f>
        <x:v>2023-09</x:v>
      </x:c>
      <x:c r="J832" s="8" t="n">
        <x:f>COUNTIFS($H$2:$H$1201,"&gt;"&amp;H832)+COUNTIFS($H$2:H832,H832)</x:f>
        <x:v>344</x:v>
      </x:c>
      <x:c r="K832" s="1"/>
      <x:c r="L832" s="1"/>
    </x:row>
    <x:row r="833" ht="22" customHeight="1">
      <x:c r="A833" s="8" t="n">
        <x:v>955</x:v>
      </x:c>
      <x:c r="B833" s="6" t="n">
        <x:v>45189</x:v>
      </x:c>
      <x:c r="C833" s="2" t="str">
        <x:v>Одежда</x:v>
      </x:c>
      <x:c r="D833" s="2" t="str">
        <x:v>Футболка</x:v>
      </x:c>
      <x:c r="E833" s="7" t="n">
        <x:v>102535.09</x:v>
      </x:c>
      <x:c r="F833" s="9" t="n">
        <x:v>5</x:v>
      </x:c>
      <x:c r="G833" s="2" t="str">
        <x:v>Новосибирск</x:v>
      </x:c>
      <x:c r="H833" s="7" t="n">
        <x:f>E833*F833</x:f>
        <x:v>512675.44999999995</x:v>
      </x:c>
      <x:c r="I833" s="2" t="str">
        <x:f>TEXT(B833,"yyyy-mm")</x:f>
        <x:v>2023-09</x:v>
      </x:c>
      <x:c r="J833" s="8" t="n">
        <x:f>COUNTIFS($H$2:$H$1201,"&gt;"&amp;H833)+COUNTIFS($H$2:H833,H833)</x:f>
        <x:v>399</x:v>
      </x:c>
      <x:c r="K833" s="1"/>
      <x:c r="L833" s="1"/>
    </x:row>
    <x:row r="834" ht="22" customHeight="1">
      <x:c r="A834" s="8" t="n">
        <x:v>195</x:v>
      </x:c>
      <x:c r="B834" s="6" t="n">
        <x:v>45190</x:v>
      </x:c>
      <x:c r="C834" s="2" t="str">
        <x:v>Электроника</x:v>
      </x:c>
      <x:c r="D834" s="2" t="str">
        <x:v>Планшет</x:v>
      </x:c>
      <x:c r="E834" s="7" t="n">
        <x:v>102016.17</x:v>
      </x:c>
      <x:c r="F834" s="9" t="n">
        <x:v>9</x:v>
      </x:c>
      <x:c r="G834" s="2" t="str">
        <x:v>Московская область</x:v>
      </x:c>
      <x:c r="H834" s="7" t="n">
        <x:f>E834*F834</x:f>
        <x:v>918145.53</x:v>
      </x:c>
      <x:c r="I834" s="2" t="str">
        <x:f>TEXT(B834,"yyyy-mm")</x:f>
        <x:v>2023-09</x:v>
      </x:c>
      <x:c r="J834" s="8" t="n">
        <x:f>COUNTIFS($H$2:$H$1201,"&gt;"&amp;H834)+COUNTIFS($H$2:H834,H834)</x:f>
        <x:v>126</x:v>
      </x:c>
      <x:c r="K834" s="1"/>
      <x:c r="L834" s="1"/>
    </x:row>
    <x:row r="835" ht="22" customHeight="1">
      <x:c r="A835" s="8" t="n">
        <x:v>213</x:v>
      </x:c>
      <x:c r="B835" s="6" t="n">
        <x:v>45190</x:v>
      </x:c>
      <x:c r="C835" s="2" t="str">
        <x:v>Товары для дома</x:v>
      </x:c>
      <x:c r="D835" s="2" t="str">
        <x:v>Плед</x:v>
      </x:c>
      <x:c r="E835" s="7" t="n">
        <x:v>32693.04</x:v>
      </x:c>
      <x:c r="F835" s="9" t="n">
        <x:v>7</x:v>
      </x:c>
      <x:c r="G835" s="2" t="str">
        <x:v>Москва</x:v>
      </x:c>
      <x:c r="H835" s="7" t="n">
        <x:f>E835*F835</x:f>
        <x:v>228851.28</x:v>
      </x:c>
      <x:c r="I835" s="2" t="str">
        <x:f>TEXT(B835,"yyyy-mm")</x:f>
        <x:v>2023-09</x:v>
      </x:c>
      <x:c r="J835" s="8" t="n">
        <x:f>COUNTIFS($H$2:$H$1201,"&gt;"&amp;H835)+COUNTIFS($H$2:H835,H835)</x:f>
        <x:v>738</x:v>
      </x:c>
      <x:c r="K835" s="1"/>
      <x:c r="L835" s="1"/>
    </x:row>
    <x:row r="836" ht="22" customHeight="1">
      <x:c r="A836" s="8" t="n">
        <x:v>374</x:v>
      </x:c>
      <x:c r="B836" s="6" t="n">
        <x:v>45190</x:v>
      </x:c>
      <x:c r="C836" s="2" t="str">
        <x:v>Товары для дома</x:v>
      </x:c>
      <x:c r="D836" s="2" t="str">
        <x:v>Кружка</x:v>
      </x:c>
      <x:c r="E836" s="7" t="n">
        <x:v>6288.31</x:v>
      </x:c>
      <x:c r="F836" s="9" t="n">
        <x:v>1</x:v>
      </x:c>
      <x:c r="G836" s="2" t="str">
        <x:v>Московская область</x:v>
      </x:c>
      <x:c r="H836" s="7" t="n">
        <x:f>E836*F836</x:f>
        <x:v>6288.31</x:v>
      </x:c>
      <x:c r="I836" s="2" t="str">
        <x:f>TEXT(B836,"yyyy-mm")</x:f>
        <x:v>2023-09</x:v>
      </x:c>
      <x:c r="J836" s="8" t="n">
        <x:f>COUNTIFS($H$2:$H$1201,"&gt;"&amp;H836)+COUNTIFS($H$2:H836,H836)</x:f>
        <x:v>1189</x:v>
      </x:c>
      <x:c r="K836" s="1"/>
      <x:c r="L836" s="1"/>
    </x:row>
    <x:row r="837" ht="22" customHeight="1">
      <x:c r="A837" s="8" t="n">
        <x:v>386</x:v>
      </x:c>
      <x:c r="B837" s="6" t="n">
        <x:v>45190</x:v>
      </x:c>
      <x:c r="C837" s="2" t="str">
        <x:v>Продукты</x:v>
      </x:c>
      <x:c r="D837" s="2" t="str">
        <x:v>Хлеб</x:v>
      </x:c>
      <x:c r="E837" s="7" t="n">
        <x:v>109636.73</x:v>
      </x:c>
      <x:c r="F837" s="9" t="n">
        <x:v>6</x:v>
      </x:c>
      <x:c r="G837" s="2" t="str">
        <x:v>Екатеринбург</x:v>
      </x:c>
      <x:c r="H837" s="7" t="n">
        <x:f>E837*F837</x:f>
        <x:v>657820.38</x:v>
      </x:c>
      <x:c r="I837" s="2" t="str">
        <x:f>TEXT(B837,"yyyy-mm")</x:f>
        <x:v>2023-09</x:v>
      </x:c>
      <x:c r="J837" s="8" t="n">
        <x:f>COUNTIFS($H$2:$H$1201,"&gt;"&amp;H837)+COUNTIFS($H$2:H837,H837)</x:f>
        <x:v>293</x:v>
      </x:c>
      <x:c r="K837" s="1"/>
      <x:c r="L837" s="1"/>
    </x:row>
    <x:row r="838" ht="22" customHeight="1">
      <x:c r="A838" s="8" t="n">
        <x:v>835</x:v>
      </x:c>
      <x:c r="B838" s="6" t="n">
        <x:v>45190</x:v>
      </x:c>
      <x:c r="C838" s="2" t="str">
        <x:v>Электроника</x:v>
      </x:c>
      <x:c r="D838" s="2" t="str">
        <x:v>Смартфон</x:v>
      </x:c>
      <x:c r="E838" s="7" t="n">
        <x:v>52006.23</x:v>
      </x:c>
      <x:c r="F838" s="9" t="n">
        <x:v>8</x:v>
      </x:c>
      <x:c r="G838" s="2" t="str">
        <x:v>Екатеринбург</x:v>
      </x:c>
      <x:c r="H838" s="7" t="n">
        <x:f>E838*F838</x:f>
        <x:v>416049.84</x:v>
      </x:c>
      <x:c r="I838" s="2" t="str">
        <x:f>TEXT(B838,"yyyy-mm")</x:f>
        <x:v>2023-09</x:v>
      </x:c>
      <x:c r="J838" s="8" t="n">
        <x:f>COUNTIFS($H$2:$H$1201,"&gt;"&amp;H838)+COUNTIFS($H$2:H838,H838)</x:f>
        <x:v>499</x:v>
      </x:c>
      <x:c r="K838" s="1"/>
      <x:c r="L838" s="1"/>
    </x:row>
    <x:row r="839" ht="22" customHeight="1">
      <x:c r="A839" s="8" t="n">
        <x:v>1036</x:v>
      </x:c>
      <x:c r="B839" s="6" t="n">
        <x:v>45190</x:v>
      </x:c>
      <x:c r="C839" s="2" t="str">
        <x:v>Продукты</x:v>
      </x:c>
      <x:c r="D839" s="2" t="str">
        <x:v>Молоко</x:v>
      </x:c>
      <x:c r="E839" s="7" t="n">
        <x:v>114253.35</x:v>
      </x:c>
      <x:c r="F839" s="9" t="n">
        <x:v>8</x:v>
      </x:c>
      <x:c r="G839" s="2" t="str">
        <x:v>Санкт‑Петербург</x:v>
      </x:c>
      <x:c r="H839" s="7" t="n">
        <x:f>E839*F839</x:f>
        <x:v>914026.8</x:v>
      </x:c>
      <x:c r="I839" s="2" t="str">
        <x:f>TEXT(B839,"yyyy-mm")</x:f>
        <x:v>2023-09</x:v>
      </x:c>
      <x:c r="J839" s="8" t="n">
        <x:f>COUNTIFS($H$2:$H$1201,"&gt;"&amp;H839)+COUNTIFS($H$2:H839,H839)</x:f>
        <x:v>130</x:v>
      </x:c>
      <x:c r="K839" s="1"/>
      <x:c r="L839" s="1"/>
    </x:row>
    <x:row r="840" ht="22" customHeight="1">
      <x:c r="A840" s="8" t="n">
        <x:v>1041</x:v>
      </x:c>
      <x:c r="B840" s="6" t="n">
        <x:v>45190</x:v>
      </x:c>
      <x:c r="C840" s="2" t="str">
        <x:v>Электроника</x:v>
      </x:c>
      <x:c r="D840" s="2" t="str">
        <x:v>Планшет</x:v>
      </x:c>
      <x:c r="E840" s="7" t="n">
        <x:v>100580.01</x:v>
      </x:c>
      <x:c r="F840" s="9" t="n">
        <x:v>8</x:v>
      </x:c>
      <x:c r="G840" s="2" t="str">
        <x:v>Санкт‑Петербург</x:v>
      </x:c>
      <x:c r="H840" s="7" t="n">
        <x:f>E840*F840</x:f>
        <x:v>804640.08</x:v>
      </x:c>
      <x:c r="I840" s="2" t="str">
        <x:f>TEXT(B840,"yyyy-mm")</x:f>
        <x:v>2023-09</x:v>
      </x:c>
      <x:c r="J840" s="8" t="n">
        <x:f>COUNTIFS($H$2:$H$1201,"&gt;"&amp;H840)+COUNTIFS($H$2:H840,H840)</x:f>
        <x:v>193</x:v>
      </x:c>
      <x:c r="K840" s="1"/>
      <x:c r="L840" s="1"/>
    </x:row>
    <x:row r="841" ht="22" customHeight="1">
      <x:c r="A841" s="8" t="n">
        <x:v>1139</x:v>
      </x:c>
      <x:c r="B841" s="6" t="n">
        <x:v>45190</x:v>
      </x:c>
      <x:c r="C841" s="2" t="str">
        <x:v>Продукты</x:v>
      </x:c>
      <x:c r="D841" s="2" t="str">
        <x:v>Шоколад</x:v>
      </x:c>
      <x:c r="E841" s="7" t="n">
        <x:v>62718.1</x:v>
      </x:c>
      <x:c r="F841" s="9" t="n">
        <x:v>1</x:v>
      </x:c>
      <x:c r="G841" s="2" t="str">
        <x:v>Московская область</x:v>
      </x:c>
      <x:c r="H841" s="7" t="n">
        <x:f>E841*F841</x:f>
        <x:v>62718.1</x:v>
      </x:c>
      <x:c r="I841" s="2" t="str">
        <x:f>TEXT(B841,"yyyy-mm")</x:f>
        <x:v>2023-09</x:v>
      </x:c>
      <x:c r="J841" s="8" t="n">
        <x:f>COUNTIFS($H$2:$H$1201,"&gt;"&amp;H841)+COUNTIFS($H$2:H841,H841)</x:f>
        <x:v>1051</x:v>
      </x:c>
      <x:c r="K841" s="1"/>
      <x:c r="L841" s="1"/>
    </x:row>
    <x:row r="842" ht="22" customHeight="1">
      <x:c r="A842" s="8" t="n">
        <x:v>806</x:v>
      </x:c>
      <x:c r="B842" s="6" t="n">
        <x:v>45191</x:v>
      </x:c>
      <x:c r="C842" s="2" t="str">
        <x:v>Одежда</x:v>
      </x:c>
      <x:c r="D842" s="2" t="str">
        <x:v>Куртка</x:v>
      </x:c>
      <x:c r="E842" s="7" t="n">
        <x:v>38945.85</x:v>
      </x:c>
      <x:c r="F842" s="9" t="n">
        <x:v>9</x:v>
      </x:c>
      <x:c r="G842" s="2" t="str">
        <x:v>Санкт‑Петербург</x:v>
      </x:c>
      <x:c r="H842" s="7" t="n">
        <x:f>E842*F842</x:f>
        <x:v>350512.64999999997</x:v>
      </x:c>
      <x:c r="I842" s="2" t="str">
        <x:f>TEXT(B842,"yyyy-mm")</x:f>
        <x:v>2023-09</x:v>
      </x:c>
      <x:c r="J842" s="8" t="n">
        <x:f>COUNTIFS($H$2:$H$1201,"&gt;"&amp;H842)+COUNTIFS($H$2:H842,H842)</x:f>
        <x:v>587</x:v>
      </x:c>
      <x:c r="K842" s="1"/>
      <x:c r="L842" s="1"/>
    </x:row>
    <x:row r="843" ht="22" customHeight="1">
      <x:c r="A843" s="8" t="n">
        <x:v>912</x:v>
      </x:c>
      <x:c r="B843" s="6" t="n">
        <x:v>45191</x:v>
      </x:c>
      <x:c r="C843" s="2" t="str">
        <x:v>Товары для дома</x:v>
      </x:c>
      <x:c r="D843" s="2" t="str">
        <x:v>Плед</x:v>
      </x:c>
      <x:c r="E843" s="7" t="n">
        <x:v>95674.5</x:v>
      </x:c>
      <x:c r="F843" s="9" t="n">
        <x:v>7</x:v>
      </x:c>
      <x:c r="G843" s="2" t="str">
        <x:v>Москва</x:v>
      </x:c>
      <x:c r="H843" s="7" t="n">
        <x:f>E843*F843</x:f>
        <x:v>669721.5</x:v>
      </x:c>
      <x:c r="I843" s="2" t="str">
        <x:f>TEXT(B843,"yyyy-mm")</x:f>
        <x:v>2023-09</x:v>
      </x:c>
      <x:c r="J843" s="8" t="n">
        <x:f>COUNTIFS($H$2:$H$1201,"&gt;"&amp;H843)+COUNTIFS($H$2:H843,H843)</x:f>
        <x:v>286</x:v>
      </x:c>
      <x:c r="K843" s="1"/>
      <x:c r="L843" s="1"/>
    </x:row>
    <x:row r="844" ht="22" customHeight="1">
      <x:c r="A844" s="8" t="n">
        <x:v>1095</x:v>
      </x:c>
      <x:c r="B844" s="6" t="n">
        <x:v>45191</x:v>
      </x:c>
      <x:c r="C844" s="2" t="str">
        <x:v>Электроника</x:v>
      </x:c>
      <x:c r="D844" s="2" t="str">
        <x:v>Планшет</x:v>
      </x:c>
      <x:c r="E844" s="7" t="n">
        <x:v>78754.77</x:v>
      </x:c>
      <x:c r="F844" s="9" t="n">
        <x:v>7</x:v>
      </x:c>
      <x:c r="G844" s="2" t="str">
        <x:v>Московская область</x:v>
      </x:c>
      <x:c r="H844" s="7" t="n">
        <x:f>E844*F844</x:f>
        <x:v>551283.39</x:v>
      </x:c>
      <x:c r="I844" s="2" t="str">
        <x:f>TEXT(B844,"yyyy-mm")</x:f>
        <x:v>2023-09</x:v>
      </x:c>
      <x:c r="J844" s="8" t="n">
        <x:f>COUNTIFS($H$2:$H$1201,"&gt;"&amp;H844)+COUNTIFS($H$2:H844,H844)</x:f>
        <x:v>367</x:v>
      </x:c>
      <x:c r="K844" s="1"/>
      <x:c r="L844" s="1"/>
    </x:row>
    <x:row r="845" ht="22" customHeight="1">
      <x:c r="A845" s="8" t="n">
        <x:v>727</x:v>
      </x:c>
      <x:c r="B845" s="6" t="n">
        <x:v>45192</x:v>
      </x:c>
      <x:c r="C845" s="2" t="str">
        <x:v>Товары для дома</x:v>
      </x:c>
      <x:c r="D845" s="2" t="str">
        <x:v>Плед</x:v>
      </x:c>
      <x:c r="E845" s="7" t="n">
        <x:v>55192.49</x:v>
      </x:c>
      <x:c r="F845" s="9" t="n">
        <x:v>9</x:v>
      </x:c>
      <x:c r="G845" s="2" t="str">
        <x:v>Московская область</x:v>
      </x:c>
      <x:c r="H845" s="7" t="n">
        <x:f>E845*F845</x:f>
        <x:v>496732.41</x:v>
      </x:c>
      <x:c r="I845" s="2" t="str">
        <x:f>TEXT(B845,"yyyy-mm")</x:f>
        <x:v>2023-09</x:v>
      </x:c>
      <x:c r="J845" s="8" t="n">
        <x:f>COUNTIFS($H$2:$H$1201,"&gt;"&amp;H845)+COUNTIFS($H$2:H845,H845)</x:f>
        <x:v>413</x:v>
      </x:c>
      <x:c r="K845" s="1"/>
      <x:c r="L845" s="1"/>
    </x:row>
    <x:row r="846" ht="22" customHeight="1">
      <x:c r="A846" s="8" t="n">
        <x:v>1115</x:v>
      </x:c>
      <x:c r="B846" s="6" t="n">
        <x:v>45192</x:v>
      </x:c>
      <x:c r="C846" s="2" t="str">
        <x:v>Одежда</x:v>
      </x:c>
      <x:c r="D846" s="2" t="str">
        <x:v>Куртка</x:v>
      </x:c>
      <x:c r="E846" s="7" t="n">
        <x:v>125599.11</x:v>
      </x:c>
      <x:c r="F846" s="9" t="n">
        <x:v>7</x:v>
      </x:c>
      <x:c r="G846" s="2" t="str">
        <x:v>Казань</x:v>
      </x:c>
      <x:c r="H846" s="7" t="n">
        <x:f>E846*F846</x:f>
        <x:v>879193.77</x:v>
      </x:c>
      <x:c r="I846" s="2" t="str">
        <x:f>TEXT(B846,"yyyy-mm")</x:f>
        <x:v>2023-09</x:v>
      </x:c>
      <x:c r="J846" s="8" t="n">
        <x:f>COUNTIFS($H$2:$H$1201,"&gt;"&amp;H846)+COUNTIFS($H$2:H846,H846)</x:f>
        <x:v>144</x:v>
      </x:c>
      <x:c r="K846" s="1"/>
      <x:c r="L846" s="1"/>
    </x:row>
    <x:row r="847" ht="22" customHeight="1">
      <x:c r="A847" s="8" t="n">
        <x:v>272</x:v>
      </x:c>
      <x:c r="B847" s="6" t="n">
        <x:v>45193</x:v>
      </x:c>
      <x:c r="C847" s="2" t="str">
        <x:v>Одежда</x:v>
      </x:c>
      <x:c r="D847" s="2" t="str">
        <x:v>Джинсы</x:v>
      </x:c>
      <x:c r="E847" s="7" t="n">
        <x:v>132643.82</x:v>
      </x:c>
      <x:c r="F847" s="9" t="n">
        <x:v>10</x:v>
      </x:c>
      <x:c r="G847" s="2" t="str">
        <x:v>Московская область</x:v>
      </x:c>
      <x:c r="H847" s="7" t="n">
        <x:f>E847*F847</x:f>
        <x:v>1326438.2000000002</x:v>
      </x:c>
      <x:c r="I847" s="2" t="str">
        <x:f>TEXT(B847,"yyyy-mm")</x:f>
        <x:v>2023-09</x:v>
      </x:c>
      <x:c r="J847" s="8" t="n">
        <x:f>COUNTIFS($H$2:$H$1201,"&gt;"&amp;H847)+COUNTIFS($H$2:H847,H847)</x:f>
        <x:v>10</x:v>
      </x:c>
      <x:c r="K847" s="1"/>
      <x:c r="L847" s="1"/>
    </x:row>
    <x:row r="848" ht="22" customHeight="1">
      <x:c r="A848" s="8" t="n">
        <x:v>429</x:v>
      </x:c>
      <x:c r="B848" s="6" t="n">
        <x:v>45193</x:v>
      </x:c>
      <x:c r="C848" s="2" t="str">
        <x:v>Одежда</x:v>
      </x:c>
      <x:c r="D848" s="2" t="str">
        <x:v>Джинсы</x:v>
      </x:c>
      <x:c r="E848" s="7" t="n">
        <x:v>47287.57</x:v>
      </x:c>
      <x:c r="F848" s="9" t="n">
        <x:v>9</x:v>
      </x:c>
      <x:c r="G848" s="2" t="str">
        <x:v>Новосибирск</x:v>
      </x:c>
      <x:c r="H848" s="7" t="n">
        <x:f>E848*F848</x:f>
        <x:v>425588.13</x:v>
      </x:c>
      <x:c r="I848" s="2" t="str">
        <x:f>TEXT(B848,"yyyy-mm")</x:f>
        <x:v>2023-09</x:v>
      </x:c>
      <x:c r="J848" s="8" t="n">
        <x:f>COUNTIFS($H$2:$H$1201,"&gt;"&amp;H848)+COUNTIFS($H$2:H848,H848)</x:f>
        <x:v>489</x:v>
      </x:c>
      <x:c r="K848" s="1"/>
      <x:c r="L848" s="1"/>
    </x:row>
    <x:row r="849" ht="22" customHeight="1">
      <x:c r="A849" s="8" t="n">
        <x:v>980</x:v>
      </x:c>
      <x:c r="B849" s="6" t="n">
        <x:v>45193</x:v>
      </x:c>
      <x:c r="C849" s="2" t="str">
        <x:v>Товары для дома</x:v>
      </x:c>
      <x:c r="D849" s="2" t="str">
        <x:v>Кружка</x:v>
      </x:c>
      <x:c r="E849" s="7" t="n">
        <x:v>143912.63</x:v>
      </x:c>
      <x:c r="F849" s="9" t="n">
        <x:v>8</x:v>
      </x:c>
      <x:c r="G849" s="2" t="str">
        <x:v>Московская область</x:v>
      </x:c>
      <x:c r="H849" s="7" t="n">
        <x:f>E849*F849</x:f>
        <x:v>1151301.04</x:v>
      </x:c>
      <x:c r="I849" s="2" t="str">
        <x:f>TEXT(B849,"yyyy-mm")</x:f>
        <x:v>2023-09</x:v>
      </x:c>
      <x:c r="J849" s="8" t="n">
        <x:f>COUNTIFS($H$2:$H$1201,"&gt;"&amp;H849)+COUNTIFS($H$2:H849,H849)</x:f>
        <x:v>46</x:v>
      </x:c>
      <x:c r="K849" s="1"/>
      <x:c r="L849" s="1"/>
    </x:row>
    <x:row r="850" ht="22" customHeight="1">
      <x:c r="A850" s="8" t="n">
        <x:v>1198</x:v>
      </x:c>
      <x:c r="B850" s="6" t="n">
        <x:v>45193</x:v>
      </x:c>
      <x:c r="C850" s="2" t="str">
        <x:v>Продукты</x:v>
      </x:c>
      <x:c r="D850" s="2" t="str">
        <x:v>Молоко</x:v>
      </x:c>
      <x:c r="E850" s="7" t="n">
        <x:v>78928.97</x:v>
      </x:c>
      <x:c r="F850" s="9" t="n">
        <x:v>4</x:v>
      </x:c>
      <x:c r="G850" s="2" t="str">
        <x:v>Екатеринбург</x:v>
      </x:c>
      <x:c r="H850" s="7" t="n">
        <x:f>E850*F850</x:f>
        <x:v>315715.88</x:v>
      </x:c>
      <x:c r="I850" s="2" t="str">
        <x:f>TEXT(B850,"yyyy-mm")</x:f>
        <x:v>2023-09</x:v>
      </x:c>
      <x:c r="J850" s="8" t="n">
        <x:f>COUNTIFS($H$2:$H$1201,"&gt;"&amp;H850)+COUNTIFS($H$2:H850,H850)</x:f>
        <x:v>618</x:v>
      </x:c>
      <x:c r="K850" s="1"/>
      <x:c r="L850" s="1"/>
    </x:row>
    <x:row r="851" ht="22" customHeight="1">
      <x:c r="A851" s="8" t="n">
        <x:v>649</x:v>
      </x:c>
      <x:c r="B851" s="6" t="n">
        <x:v>45194</x:v>
      </x:c>
      <x:c r="C851" s="2" t="str">
        <x:v>Электроника</x:v>
      </x:c>
      <x:c r="D851" s="2" t="str">
        <x:v>Планшет</x:v>
      </x:c>
      <x:c r="E851" s="7" t="n">
        <x:v>110670.58</x:v>
      </x:c>
      <x:c r="F851" s="9" t="n">
        <x:v>1</x:v>
      </x:c>
      <x:c r="G851" s="2" t="str">
        <x:v>Екатеринбург</x:v>
      </x:c>
      <x:c r="H851" s="7" t="n">
        <x:f>E851*F851</x:f>
        <x:v>110670.58</x:v>
      </x:c>
      <x:c r="I851" s="2" t="str">
        <x:f>TEXT(B851,"yyyy-mm")</x:f>
        <x:v>2023-09</x:v>
      </x:c>
      <x:c r="J851" s="8" t="n">
        <x:f>COUNTIFS($H$2:$H$1201,"&gt;"&amp;H851)+COUNTIFS($H$2:H851,H851)</x:f>
        <x:v>949</x:v>
      </x:c>
      <x:c r="K851" s="1"/>
      <x:c r="L851" s="1"/>
    </x:row>
    <x:row r="852" ht="22" customHeight="1">
      <x:c r="A852" s="8" t="n">
        <x:v>900</x:v>
      </x:c>
      <x:c r="B852" s="6" t="n">
        <x:v>45194</x:v>
      </x:c>
      <x:c r="C852" s="2" t="str">
        <x:v>Товары для дома</x:v>
      </x:c>
      <x:c r="D852" s="2" t="str">
        <x:v>Кружка</x:v>
      </x:c>
      <x:c r="E852" s="7" t="n">
        <x:v>28026.27</x:v>
      </x:c>
      <x:c r="F852" s="9" t="n">
        <x:v>8</x:v>
      </x:c>
      <x:c r="G852" s="2" t="str">
        <x:v>Екатеринбург</x:v>
      </x:c>
      <x:c r="H852" s="7" t="n">
        <x:f>E852*F852</x:f>
        <x:v>224210.16</x:v>
      </x:c>
      <x:c r="I852" s="2" t="str">
        <x:f>TEXT(B852,"yyyy-mm")</x:f>
        <x:v>2023-09</x:v>
      </x:c>
      <x:c r="J852" s="8" t="n">
        <x:f>COUNTIFS($H$2:$H$1201,"&gt;"&amp;H852)+COUNTIFS($H$2:H852,H852)</x:f>
        <x:v>745</x:v>
      </x:c>
      <x:c r="K852" s="1"/>
      <x:c r="L852" s="1"/>
    </x:row>
    <x:row r="853" ht="22" customHeight="1">
      <x:c r="A853" s="8" t="n">
        <x:v>910</x:v>
      </x:c>
      <x:c r="B853" s="6" t="n">
        <x:v>45194</x:v>
      </x:c>
      <x:c r="C853" s="2" t="str">
        <x:v>Одежда</x:v>
      </x:c>
      <x:c r="D853" s="2" t="str">
        <x:v>Куртка</x:v>
      </x:c>
      <x:c r="E853" s="7" t="n">
        <x:v>84277.46</x:v>
      </x:c>
      <x:c r="F853" s="9" t="n">
        <x:v>8</x:v>
      </x:c>
      <x:c r="G853" s="2" t="str">
        <x:v>Екатеринбург</x:v>
      </x:c>
      <x:c r="H853" s="7" t="n">
        <x:f>E853*F853</x:f>
        <x:v>674219.68</x:v>
      </x:c>
      <x:c r="I853" s="2" t="str">
        <x:f>TEXT(B853,"yyyy-mm")</x:f>
        <x:v>2023-09</x:v>
      </x:c>
      <x:c r="J853" s="8" t="n">
        <x:f>COUNTIFS($H$2:$H$1201,"&gt;"&amp;H853)+COUNTIFS($H$2:H853,H853)</x:f>
        <x:v>284</x:v>
      </x:c>
      <x:c r="K853" s="1"/>
      <x:c r="L853" s="1"/>
    </x:row>
    <x:row r="854" ht="22" customHeight="1">
      <x:c r="A854" s="8" t="n">
        <x:v>132</x:v>
      </x:c>
      <x:c r="B854" s="6" t="n">
        <x:v>45195</x:v>
      </x:c>
      <x:c r="C854" s="2" t="str">
        <x:v>Электроника</x:v>
      </x:c>
      <x:c r="D854" s="2" t="str">
        <x:v>Планшет</x:v>
      </x:c>
      <x:c r="E854" s="7" t="n">
        <x:v>104911.79</x:v>
      </x:c>
      <x:c r="F854" s="9" t="n">
        <x:v>2</x:v>
      </x:c>
      <x:c r="G854" s="2" t="str">
        <x:v>Санкт‑Петербург</x:v>
      </x:c>
      <x:c r="H854" s="7" t="n">
        <x:f>E854*F854</x:f>
        <x:v>209823.58</x:v>
      </x:c>
      <x:c r="I854" s="2" t="str">
        <x:f>TEXT(B854,"yyyy-mm")</x:f>
        <x:v>2023-09</x:v>
      </x:c>
      <x:c r="J854" s="8" t="n">
        <x:f>COUNTIFS($H$2:$H$1201,"&gt;"&amp;H854)+COUNTIFS($H$2:H854,H854)</x:f>
        <x:v>777</x:v>
      </x:c>
      <x:c r="K854" s="1"/>
      <x:c r="L854" s="1"/>
    </x:row>
    <x:row r="855" ht="22" customHeight="1">
      <x:c r="A855" s="8" t="n">
        <x:v>248</x:v>
      </x:c>
      <x:c r="B855" s="6" t="n">
        <x:v>45195</x:v>
      </x:c>
      <x:c r="C855" s="2" t="str">
        <x:v>Продукты</x:v>
      </x:c>
      <x:c r="D855" s="2" t="str">
        <x:v>Шоколад</x:v>
      </x:c>
      <x:c r="E855" s="7" t="n">
        <x:v>121243.87</x:v>
      </x:c>
      <x:c r="F855" s="9" t="n">
        <x:v>3</x:v>
      </x:c>
      <x:c r="G855" s="2" t="str">
        <x:v>Новосибирск</x:v>
      </x:c>
      <x:c r="H855" s="7" t="n">
        <x:f>E855*F855</x:f>
        <x:v>363731.61</x:v>
      </x:c>
      <x:c r="I855" s="2" t="str">
        <x:f>TEXT(B855,"yyyy-mm")</x:f>
        <x:v>2023-09</x:v>
      </x:c>
      <x:c r="J855" s="8" t="n">
        <x:f>COUNTIFS($H$2:$H$1201,"&gt;"&amp;H855)+COUNTIFS($H$2:H855,H855)</x:f>
        <x:v>568</x:v>
      </x:c>
      <x:c r="K855" s="1"/>
      <x:c r="L855" s="1"/>
    </x:row>
    <x:row r="856" ht="22" customHeight="1">
      <x:c r="A856" s="8" t="n">
        <x:v>304</x:v>
      </x:c>
      <x:c r="B856" s="6" t="n">
        <x:v>45195</x:v>
      </x:c>
      <x:c r="C856" s="2" t="str">
        <x:v>Товары для дома</x:v>
      </x:c>
      <x:c r="D856" s="2" t="str">
        <x:v>Кружка</x:v>
      </x:c>
      <x:c r="E856" s="7" t="n">
        <x:v>91993.62</x:v>
      </x:c>
      <x:c r="F856" s="9" t="n">
        <x:v>10</x:v>
      </x:c>
      <x:c r="G856" s="2" t="str">
        <x:v>Московская область</x:v>
      </x:c>
      <x:c r="H856" s="7" t="n">
        <x:f>E856*F856</x:f>
        <x:v>919936.2</x:v>
      </x:c>
      <x:c r="I856" s="2" t="str">
        <x:f>TEXT(B856,"yyyy-mm")</x:f>
        <x:v>2023-09</x:v>
      </x:c>
      <x:c r="J856" s="8" t="n">
        <x:f>COUNTIFS($H$2:$H$1201,"&gt;"&amp;H856)+COUNTIFS($H$2:H856,H856)</x:f>
        <x:v>124</x:v>
      </x:c>
      <x:c r="K856" s="1"/>
      <x:c r="L856" s="1"/>
    </x:row>
    <x:row r="857" ht="22" customHeight="1">
      <x:c r="A857" s="8" t="n">
        <x:v>416</x:v>
      </x:c>
      <x:c r="B857" s="6" t="n">
        <x:v>45195</x:v>
      </x:c>
      <x:c r="C857" s="2" t="str">
        <x:v>Продукты</x:v>
      </x:c>
      <x:c r="D857" s="2" t="str">
        <x:v>Хлеб</x:v>
      </x:c>
      <x:c r="E857" s="7" t="n">
        <x:v>11225.76</x:v>
      </x:c>
      <x:c r="F857" s="9" t="n">
        <x:v>2</x:v>
      </x:c>
      <x:c r="G857" s="2" t="str">
        <x:v>Москва</x:v>
      </x:c>
      <x:c r="H857" s="7" t="n">
        <x:f>E857*F857</x:f>
        <x:v>22451.52</x:v>
      </x:c>
      <x:c r="I857" s="2" t="str">
        <x:f>TEXT(B857,"yyyy-mm")</x:f>
        <x:v>2023-09</x:v>
      </x:c>
      <x:c r="J857" s="8" t="n">
        <x:f>COUNTIFS($H$2:$H$1201,"&gt;"&amp;H857)+COUNTIFS($H$2:H857,H857)</x:f>
        <x:v>1147</x:v>
      </x:c>
      <x:c r="K857" s="1"/>
      <x:c r="L857" s="1"/>
    </x:row>
    <x:row r="858" ht="22" customHeight="1">
      <x:c r="A858" s="8" t="n">
        <x:v>392</x:v>
      </x:c>
      <x:c r="B858" s="6" t="n">
        <x:v>45196</x:v>
      </x:c>
      <x:c r="C858" s="2" t="str">
        <x:v>Продукты</x:v>
      </x:c>
      <x:c r="D858" s="2" t="str">
        <x:v>Молоко</x:v>
      </x:c>
      <x:c r="E858" s="7" t="n">
        <x:v>28908.59</x:v>
      </x:c>
      <x:c r="F858" s="9" t="n">
        <x:v>1</x:v>
      </x:c>
      <x:c r="G858" s="2" t="str">
        <x:v>Москва</x:v>
      </x:c>
      <x:c r="H858" s="7" t="n">
        <x:f>E858*F858</x:f>
        <x:v>28908.59</x:v>
      </x:c>
      <x:c r="I858" s="2" t="str">
        <x:f>TEXT(B858,"yyyy-mm")</x:f>
        <x:v>2023-09</x:v>
      </x:c>
      <x:c r="J858" s="8" t="n">
        <x:f>COUNTIFS($H$2:$H$1201,"&gt;"&amp;H858)+COUNTIFS($H$2:H858,H858)</x:f>
        <x:v>1131</x:v>
      </x:c>
      <x:c r="K858" s="1"/>
      <x:c r="L858" s="1"/>
    </x:row>
    <x:row r="859" ht="22" customHeight="1">
      <x:c r="A859" s="8" t="n">
        <x:v>788</x:v>
      </x:c>
      <x:c r="B859" s="6" t="n">
        <x:v>45196</x:v>
      </x:c>
      <x:c r="C859" s="2" t="str">
        <x:v>Товары для дома</x:v>
      </x:c>
      <x:c r="D859" s="2" t="str">
        <x:v>Кружка</x:v>
      </x:c>
      <x:c r="E859" s="7" t="n">
        <x:v>111744.34</x:v>
      </x:c>
      <x:c r="F859" s="9" t="n">
        <x:v>4</x:v>
      </x:c>
      <x:c r="G859" s="2" t="str">
        <x:v>Казань</x:v>
      </x:c>
      <x:c r="H859" s="7" t="n">
        <x:f>E859*F859</x:f>
        <x:v>446977.36</x:v>
      </x:c>
      <x:c r="I859" s="2" t="str">
        <x:f>TEXT(B859,"yyyy-mm")</x:f>
        <x:v>2023-09</x:v>
      </x:c>
      <x:c r="J859" s="8" t="n">
        <x:f>COUNTIFS($H$2:$H$1201,"&gt;"&amp;H859)+COUNTIFS($H$2:H859,H859)</x:f>
        <x:v>455</x:v>
      </x:c>
      <x:c r="K859" s="1"/>
      <x:c r="L859" s="1"/>
    </x:row>
    <x:row r="860" ht="22" customHeight="1">
      <x:c r="A860" s="8" t="n">
        <x:v>1187</x:v>
      </x:c>
      <x:c r="B860" s="6" t="n">
        <x:v>45197</x:v>
      </x:c>
      <x:c r="C860" s="2" t="str">
        <x:v>Электроника</x:v>
      </x:c>
      <x:c r="D860" s="2" t="str">
        <x:v>Смартфон</x:v>
      </x:c>
      <x:c r="E860" s="7" t="n">
        <x:v>39914.54</x:v>
      </x:c>
      <x:c r="F860" s="9" t="n">
        <x:v>2</x:v>
      </x:c>
      <x:c r="G860" s="2" t="str">
        <x:v>Москва</x:v>
      </x:c>
      <x:c r="H860" s="7" t="n">
        <x:f>E860*F860</x:f>
        <x:v>79829.08</x:v>
      </x:c>
      <x:c r="I860" s="2" t="str">
        <x:f>TEXT(B860,"yyyy-mm")</x:f>
        <x:v>2023-09</x:v>
      </x:c>
      <x:c r="J860" s="8" t="n">
        <x:f>COUNTIFS($H$2:$H$1201,"&gt;"&amp;H860)+COUNTIFS($H$2:H860,H860)</x:f>
        <x:v>1016</x:v>
      </x:c>
      <x:c r="K860" s="1"/>
      <x:c r="L860" s="1"/>
    </x:row>
    <x:row r="861" ht="22" customHeight="1">
      <x:c r="A861" s="8" t="n">
        <x:v>531</x:v>
      </x:c>
      <x:c r="B861" s="6" t="n">
        <x:v>45198</x:v>
      </x:c>
      <x:c r="C861" s="2" t="str">
        <x:v>Продукты</x:v>
      </x:c>
      <x:c r="D861" s="2" t="str">
        <x:v>Молоко</x:v>
      </x:c>
      <x:c r="E861" s="7" t="n">
        <x:v>143349.65</x:v>
      </x:c>
      <x:c r="F861" s="9" t="n">
        <x:v>4</x:v>
      </x:c>
      <x:c r="G861" s="2" t="str">
        <x:v>Московская область</x:v>
      </x:c>
      <x:c r="H861" s="7" t="n">
        <x:f>E861*F861</x:f>
        <x:v>573398.6</x:v>
      </x:c>
      <x:c r="I861" s="2" t="str">
        <x:f>TEXT(B861,"yyyy-mm")</x:f>
        <x:v>2023-09</x:v>
      </x:c>
      <x:c r="J861" s="8" t="n">
        <x:f>COUNTIFS($H$2:$H$1201,"&gt;"&amp;H861)+COUNTIFS($H$2:H861,H861)</x:f>
        <x:v>342</x:v>
      </x:c>
      <x:c r="K861" s="1"/>
      <x:c r="L861" s="1"/>
    </x:row>
    <x:row r="862" ht="22" customHeight="1">
      <x:c r="A862" s="8" t="n">
        <x:v>659</x:v>
      </x:c>
      <x:c r="B862" s="6" t="n">
        <x:v>45198</x:v>
      </x:c>
      <x:c r="C862" s="2" t="str">
        <x:v>Одежда</x:v>
      </x:c>
      <x:c r="D862" s="2" t="str">
        <x:v>Футболка</x:v>
      </x:c>
      <x:c r="E862" s="7" t="n">
        <x:v>55448.76</x:v>
      </x:c>
      <x:c r="F862" s="9" t="n">
        <x:v>8</x:v>
      </x:c>
      <x:c r="G862" s="2" t="str">
        <x:v>Москва</x:v>
      </x:c>
      <x:c r="H862" s="7" t="n">
        <x:f>E862*F862</x:f>
        <x:v>443590.08</x:v>
      </x:c>
      <x:c r="I862" s="2" t="str">
        <x:f>TEXT(B862,"yyyy-mm")</x:f>
        <x:v>2023-09</x:v>
      </x:c>
      <x:c r="J862" s="8" t="n">
        <x:f>COUNTIFS($H$2:$H$1201,"&gt;"&amp;H862)+COUNTIFS($H$2:H862,H862)</x:f>
        <x:v>460</x:v>
      </x:c>
      <x:c r="K862" s="1"/>
      <x:c r="L862" s="1"/>
    </x:row>
    <x:row r="863" ht="22" customHeight="1">
      <x:c r="A863" s="8" t="n">
        <x:v>734</x:v>
      </x:c>
      <x:c r="B863" s="6" t="n">
        <x:v>45198</x:v>
      </x:c>
      <x:c r="C863" s="2" t="str">
        <x:v>Одежда</x:v>
      </x:c>
      <x:c r="D863" s="2" t="str">
        <x:v>Куртка</x:v>
      </x:c>
      <x:c r="E863" s="7" t="n">
        <x:v>94003.05</x:v>
      </x:c>
      <x:c r="F863" s="9" t="n">
        <x:v>10</x:v>
      </x:c>
      <x:c r="G863" s="2" t="str">
        <x:v>Москва</x:v>
      </x:c>
      <x:c r="H863" s="7" t="n">
        <x:f>E863*F863</x:f>
        <x:v>940030.5</x:v>
      </x:c>
      <x:c r="I863" s="2" t="str">
        <x:f>TEXT(B863,"yyyy-mm")</x:f>
        <x:v>2023-09</x:v>
      </x:c>
      <x:c r="J863" s="8" t="n">
        <x:f>COUNTIFS($H$2:$H$1201,"&gt;"&amp;H863)+COUNTIFS($H$2:H863,H863)</x:f>
        <x:v>116</x:v>
      </x:c>
      <x:c r="K863" s="1"/>
      <x:c r="L863" s="1"/>
    </x:row>
    <x:row r="864" ht="22" customHeight="1">
      <x:c r="A864" s="8" t="n">
        <x:v>745</x:v>
      </x:c>
      <x:c r="B864" s="6" t="n">
        <x:v>45198</x:v>
      </x:c>
      <x:c r="C864" s="2" t="str">
        <x:v>Товары для дома</x:v>
      </x:c>
      <x:c r="D864" s="2" t="str">
        <x:v>Полотенце</x:v>
      </x:c>
      <x:c r="E864" s="7" t="n">
        <x:v>77463.9</x:v>
      </x:c>
      <x:c r="F864" s="9" t="n">
        <x:v>1</x:v>
      </x:c>
      <x:c r="G864" s="2" t="str">
        <x:v>Санкт‑Петербург</x:v>
      </x:c>
      <x:c r="H864" s="7" t="n">
        <x:f>E864*F864</x:f>
        <x:v>77463.9</x:v>
      </x:c>
      <x:c r="I864" s="2" t="str">
        <x:f>TEXT(B864,"yyyy-mm")</x:f>
        <x:v>2023-09</x:v>
      </x:c>
      <x:c r="J864" s="8" t="n">
        <x:f>COUNTIFS($H$2:$H$1201,"&gt;"&amp;H864)+COUNTIFS($H$2:H864,H864)</x:f>
        <x:v>1022</x:v>
      </x:c>
      <x:c r="K864" s="1"/>
      <x:c r="L864" s="1"/>
    </x:row>
    <x:row r="865" ht="22" customHeight="1">
      <x:c r="A865" s="8" t="n">
        <x:v>1112</x:v>
      </x:c>
      <x:c r="B865" s="6" t="n">
        <x:v>45198</x:v>
      </x:c>
      <x:c r="C865" s="2" t="str">
        <x:v>Продукты</x:v>
      </x:c>
      <x:c r="D865" s="2" t="str">
        <x:v>Кофе</x:v>
      </x:c>
      <x:c r="E865" s="7" t="n">
        <x:v>4608.69</x:v>
      </x:c>
      <x:c r="F865" s="9" t="n">
        <x:v>4</x:v>
      </x:c>
      <x:c r="G865" s="2" t="str">
        <x:v>Санкт‑Петербург</x:v>
      </x:c>
      <x:c r="H865" s="7" t="n">
        <x:f>E865*F865</x:f>
        <x:v>18434.76</x:v>
      </x:c>
      <x:c r="I865" s="2" t="str">
        <x:f>TEXT(B865,"yyyy-mm")</x:f>
        <x:v>2023-09</x:v>
      </x:c>
      <x:c r="J865" s="8" t="n">
        <x:f>COUNTIFS($H$2:$H$1201,"&gt;"&amp;H865)+COUNTIFS($H$2:H865,H865)</x:f>
        <x:v>1157</x:v>
      </x:c>
      <x:c r="K865" s="1"/>
      <x:c r="L865" s="1"/>
    </x:row>
    <x:row r="866" ht="22" customHeight="1">
      <x:c r="A866" s="8" t="n">
        <x:v>457</x:v>
      </x:c>
      <x:c r="B866" s="6" t="n">
        <x:v>45199</x:v>
      </x:c>
      <x:c r="C866" s="2" t="str">
        <x:v>Электроника</x:v>
      </x:c>
      <x:c r="D866" s="2" t="str">
        <x:v>Смартфон</x:v>
      </x:c>
      <x:c r="E866" s="7" t="n">
        <x:v>138817.71</x:v>
      </x:c>
      <x:c r="F866" s="9" t="n">
        <x:v>8</x:v>
      </x:c>
      <x:c r="G866" s="2" t="str">
        <x:v>Новосибирск</x:v>
      </x:c>
      <x:c r="H866" s="7" t="n">
        <x:f>E866*F866</x:f>
        <x:v>1110541.68</x:v>
      </x:c>
      <x:c r="I866" s="2" t="str">
        <x:f>TEXT(B866,"yyyy-mm")</x:f>
        <x:v>2023-09</x:v>
      </x:c>
      <x:c r="J866" s="8" t="n">
        <x:f>COUNTIFS($H$2:$H$1201,"&gt;"&amp;H866)+COUNTIFS($H$2:H866,H866)</x:f>
        <x:v>62</x:v>
      </x:c>
      <x:c r="K866" s="1"/>
      <x:c r="L866" s="1"/>
    </x:row>
    <x:row r="867" ht="22" customHeight="1">
      <x:c r="A867" s="8" t="n">
        <x:v>667</x:v>
      </x:c>
      <x:c r="B867" s="6" t="n">
        <x:v>45199</x:v>
      </x:c>
      <x:c r="C867" s="2" t="str">
        <x:v>Продукты</x:v>
      </x:c>
      <x:c r="D867" s="2" t="str">
        <x:v>Кофе</x:v>
      </x:c>
      <x:c r="E867" s="7" t="n">
        <x:v>65280.29</x:v>
      </x:c>
      <x:c r="F867" s="9" t="n">
        <x:v>6</x:v>
      </x:c>
      <x:c r="G867" s="2" t="str">
        <x:v>Санкт‑Петербург</x:v>
      </x:c>
      <x:c r="H867" s="7" t="n">
        <x:f>E867*F867</x:f>
        <x:v>391681.74</x:v>
      </x:c>
      <x:c r="I867" s="2" t="str">
        <x:f>TEXT(B867,"yyyy-mm")</x:f>
        <x:v>2023-09</x:v>
      </x:c>
      <x:c r="J867" s="8" t="n">
        <x:f>COUNTIFS($H$2:$H$1201,"&gt;"&amp;H867)+COUNTIFS($H$2:H867,H867)</x:f>
        <x:v>535</x:v>
      </x:c>
      <x:c r="K867" s="1"/>
      <x:c r="L867" s="1"/>
    </x:row>
    <x:row r="868" ht="22" customHeight="1">
      <x:c r="A868" s="8" t="n">
        <x:v>823</x:v>
      </x:c>
      <x:c r="B868" s="6" t="n">
        <x:v>45199</x:v>
      </x:c>
      <x:c r="C868" s="2" t="str">
        <x:v>Электроника</x:v>
      </x:c>
      <x:c r="D868" s="2" t="str">
        <x:v>Ноутбук</x:v>
      </x:c>
      <x:c r="E868" s="7" t="n">
        <x:v>48709.29</x:v>
      </x:c>
      <x:c r="F868" s="9" t="n">
        <x:v>2</x:v>
      </x:c>
      <x:c r="G868" s="2" t="str">
        <x:v>Санкт‑Петербург</x:v>
      </x:c>
      <x:c r="H868" s="7" t="n">
        <x:f>E868*F868</x:f>
        <x:v>97418.58</x:v>
      </x:c>
      <x:c r="I868" s="2" t="str">
        <x:f>TEXT(B868,"yyyy-mm")</x:f>
        <x:v>2023-09</x:v>
      </x:c>
      <x:c r="J868" s="8" t="n">
        <x:f>COUNTIFS($H$2:$H$1201,"&gt;"&amp;H868)+COUNTIFS($H$2:H868,H868)</x:f>
        <x:v>975</x:v>
      </x:c>
      <x:c r="K868" s="1"/>
      <x:c r="L868" s="1"/>
    </x:row>
    <x:row r="869" ht="22" customHeight="1">
      <x:c r="A869" s="8" t="n">
        <x:v>300</x:v>
      </x:c>
      <x:c r="B869" s="6" t="n">
        <x:v>45200</x:v>
      </x:c>
      <x:c r="C869" s="2" t="str">
        <x:v>Электроника</x:v>
      </x:c>
      <x:c r="D869" s="2" t="str">
        <x:v>Планшет</x:v>
      </x:c>
      <x:c r="E869" s="7" t="n">
        <x:v>32462.13</x:v>
      </x:c>
      <x:c r="F869" s="9" t="n">
        <x:v>5</x:v>
      </x:c>
      <x:c r="G869" s="2" t="str">
        <x:v>Санкт‑Петербург</x:v>
      </x:c>
      <x:c r="H869" s="7" t="n">
        <x:f>E869*F869</x:f>
        <x:v>162310.65</x:v>
      </x:c>
      <x:c r="I869" s="2" t="str">
        <x:f>TEXT(B869,"yyyy-mm")</x:f>
        <x:v>2023-10</x:v>
      </x:c>
      <x:c r="J869" s="8" t="n">
        <x:f>COUNTIFS($H$2:$H$1201,"&gt;"&amp;H869)+COUNTIFS($H$2:H869,H869)</x:f>
        <x:v>834</x:v>
      </x:c>
      <x:c r="K869" s="1"/>
      <x:c r="L869" s="1"/>
    </x:row>
    <x:row r="870" ht="22" customHeight="1">
      <x:c r="A870" s="8" t="n">
        <x:v>463</x:v>
      </x:c>
      <x:c r="B870" s="6" t="n">
        <x:v>45200</x:v>
      </x:c>
      <x:c r="C870" s="2" t="str">
        <x:v>Одежда</x:v>
      </x:c>
      <x:c r="D870" s="2" t="str">
        <x:v>Джинсы</x:v>
      </x:c>
      <x:c r="E870" s="7" t="n">
        <x:v>140816.18</x:v>
      </x:c>
      <x:c r="F870" s="9" t="n">
        <x:v>1</x:v>
      </x:c>
      <x:c r="G870" s="2" t="str">
        <x:v>Новосибирск</x:v>
      </x:c>
      <x:c r="H870" s="7" t="n">
        <x:f>E870*F870</x:f>
        <x:v>140816.18</x:v>
      </x:c>
      <x:c r="I870" s="2" t="str">
        <x:f>TEXT(B870,"yyyy-mm")</x:f>
        <x:v>2023-10</x:v>
      </x:c>
      <x:c r="J870" s="8" t="n">
        <x:f>COUNTIFS($H$2:$H$1201,"&gt;"&amp;H870)+COUNTIFS($H$2:H870,H870)</x:f>
        <x:v>875</x:v>
      </x:c>
      <x:c r="K870" s="1"/>
      <x:c r="L870" s="1"/>
    </x:row>
    <x:row r="871" ht="22" customHeight="1">
      <x:c r="A871" s="8" t="n">
        <x:v>612</x:v>
      </x:c>
      <x:c r="B871" s="6" t="n">
        <x:v>45200</x:v>
      </x:c>
      <x:c r="C871" s="2" t="str">
        <x:v>Продукты</x:v>
      </x:c>
      <x:c r="D871" s="2" t="str">
        <x:v>Хлеб</x:v>
      </x:c>
      <x:c r="E871" s="7" t="n">
        <x:v>126077.12</x:v>
      </x:c>
      <x:c r="F871" s="9" t="n">
        <x:v>6</x:v>
      </x:c>
      <x:c r="G871" s="2" t="str">
        <x:v>Новосибирск</x:v>
      </x:c>
      <x:c r="H871" s="7" t="n">
        <x:f>E871*F871</x:f>
        <x:v>756462.72</x:v>
      </x:c>
      <x:c r="I871" s="2" t="str">
        <x:f>TEXT(B871,"yyyy-mm")</x:f>
        <x:v>2023-10</x:v>
      </x:c>
      <x:c r="J871" s="8" t="n">
        <x:f>COUNTIFS($H$2:$H$1201,"&gt;"&amp;H871)+COUNTIFS($H$2:H871,H871)</x:f>
        <x:v>222</x:v>
      </x:c>
      <x:c r="K871" s="1"/>
      <x:c r="L871" s="1"/>
    </x:row>
    <x:row r="872" ht="22" customHeight="1">
      <x:c r="A872" s="8" t="n">
        <x:v>1154</x:v>
      </x:c>
      <x:c r="B872" s="6" t="n">
        <x:v>45200</x:v>
      </x:c>
      <x:c r="C872" s="2" t="str">
        <x:v>Продукты</x:v>
      </x:c>
      <x:c r="D872" s="2" t="str">
        <x:v>Хлеб</x:v>
      </x:c>
      <x:c r="E872" s="7" t="n">
        <x:v>105153.53</x:v>
      </x:c>
      <x:c r="F872" s="9" t="n">
        <x:v>6</x:v>
      </x:c>
      <x:c r="G872" s="2" t="str">
        <x:v>Московская область</x:v>
      </x:c>
      <x:c r="H872" s="7" t="n">
        <x:f>E872*F872</x:f>
        <x:v>630921.1799999999</x:v>
      </x:c>
      <x:c r="I872" s="2" t="str">
        <x:f>TEXT(B872,"yyyy-mm")</x:f>
        <x:v>2023-10</x:v>
      </x:c>
      <x:c r="J872" s="8" t="n">
        <x:f>COUNTIFS($H$2:$H$1201,"&gt;"&amp;H872)+COUNTIFS($H$2:H872,H872)</x:f>
        <x:v>304</x:v>
      </x:c>
      <x:c r="K872" s="1"/>
      <x:c r="L872" s="1"/>
    </x:row>
    <x:row r="873" ht="22" customHeight="1">
      <x:c r="A873" s="8" t="n">
        <x:v>1192</x:v>
      </x:c>
      <x:c r="B873" s="6" t="n">
        <x:v>45200</x:v>
      </x:c>
      <x:c r="C873" s="2" t="str">
        <x:v>Товары для дома</x:v>
      </x:c>
      <x:c r="D873" s="2" t="str">
        <x:v>Кружка</x:v>
      </x:c>
      <x:c r="E873" s="7" t="n">
        <x:v>129462.38</x:v>
      </x:c>
      <x:c r="F873" s="9" t="n">
        <x:v>9</x:v>
      </x:c>
      <x:c r="G873" s="2" t="str">
        <x:v>Москва</x:v>
      </x:c>
      <x:c r="H873" s="7" t="n">
        <x:f>E873*F873</x:f>
        <x:v>1165161.42</x:v>
      </x:c>
      <x:c r="I873" s="2" t="str">
        <x:f>TEXT(B873,"yyyy-mm")</x:f>
        <x:v>2023-10</x:v>
      </x:c>
      <x:c r="J873" s="8" t="n">
        <x:f>COUNTIFS($H$2:$H$1201,"&gt;"&amp;H873)+COUNTIFS($H$2:H873,H873)</x:f>
        <x:v>41</x:v>
      </x:c>
      <x:c r="K873" s="1"/>
      <x:c r="L873" s="1"/>
    </x:row>
    <x:row r="874" ht="22" customHeight="1">
      <x:c r="A874" s="8" t="n">
        <x:v>129</x:v>
      </x:c>
      <x:c r="B874" s="6" t="n">
        <x:v>45201</x:v>
      </x:c>
      <x:c r="C874" s="2" t="str">
        <x:v>Товары для дома</x:v>
      </x:c>
      <x:c r="D874" s="2" t="str">
        <x:v>Плед</x:v>
      </x:c>
      <x:c r="E874" s="7" t="n">
        <x:v>18907.34</x:v>
      </x:c>
      <x:c r="F874" s="9" t="n">
        <x:v>6</x:v>
      </x:c>
      <x:c r="G874" s="2" t="str">
        <x:v>Новосибирск</x:v>
      </x:c>
      <x:c r="H874" s="7" t="n">
        <x:f>E874*F874</x:f>
        <x:v>113444.04000000001</x:v>
      </x:c>
      <x:c r="I874" s="2" t="str">
        <x:f>TEXT(B874,"yyyy-mm")</x:f>
        <x:v>2023-10</x:v>
      </x:c>
      <x:c r="J874" s="8" t="n">
        <x:f>COUNTIFS($H$2:$H$1201,"&gt;"&amp;H874)+COUNTIFS($H$2:H874,H874)</x:f>
        <x:v>941</x:v>
      </x:c>
      <x:c r="K874" s="1"/>
      <x:c r="L874" s="1"/>
    </x:row>
    <x:row r="875" ht="22" customHeight="1">
      <x:c r="A875" s="8" t="n">
        <x:v>296</x:v>
      </x:c>
      <x:c r="B875" s="6" t="n">
        <x:v>45201</x:v>
      </x:c>
      <x:c r="C875" s="2" t="str">
        <x:v>Продукты</x:v>
      </x:c>
      <x:c r="D875" s="2" t="str">
        <x:v>Молоко</x:v>
      </x:c>
      <x:c r="E875" s="7" t="n">
        <x:v>122836.36</x:v>
      </x:c>
      <x:c r="F875" s="9" t="n">
        <x:v>3</x:v>
      </x:c>
      <x:c r="G875" s="2" t="str">
        <x:v>Санкт‑Петербург</x:v>
      </x:c>
      <x:c r="H875" s="7" t="n">
        <x:f>E875*F875</x:f>
        <x:v>368509.08</x:v>
      </x:c>
      <x:c r="I875" s="2" t="str">
        <x:f>TEXT(B875,"yyyy-mm")</x:f>
        <x:v>2023-10</x:v>
      </x:c>
      <x:c r="J875" s="8" t="n">
        <x:f>COUNTIFS($H$2:$H$1201,"&gt;"&amp;H875)+COUNTIFS($H$2:H875,H875)</x:f>
        <x:v>562</x:v>
      </x:c>
      <x:c r="K875" s="1"/>
      <x:c r="L875" s="1"/>
    </x:row>
    <x:row r="876" ht="22" customHeight="1">
      <x:c r="A876" s="8" t="n">
        <x:v>959</x:v>
      </x:c>
      <x:c r="B876" s="6" t="n">
        <x:v>45201</x:v>
      </x:c>
      <x:c r="C876" s="2" t="str">
        <x:v>Одежда</x:v>
      </x:c>
      <x:c r="D876" s="2" t="str">
        <x:v>Куртка</x:v>
      </x:c>
      <x:c r="E876" s="7" t="n">
        <x:v>69869.01</x:v>
      </x:c>
      <x:c r="F876" s="9" t="n">
        <x:v>3</x:v>
      </x:c>
      <x:c r="G876" s="2" t="str">
        <x:v>Екатеринбург</x:v>
      </x:c>
      <x:c r="H876" s="7" t="n">
        <x:f>E876*F876</x:f>
        <x:v>209607.02999999997</x:v>
      </x:c>
      <x:c r="I876" s="2" t="str">
        <x:f>TEXT(B876,"yyyy-mm")</x:f>
        <x:v>2023-10</x:v>
      </x:c>
      <x:c r="J876" s="8" t="n">
        <x:f>COUNTIFS($H$2:$H$1201,"&gt;"&amp;H876)+COUNTIFS($H$2:H876,H876)</x:f>
        <x:v>778</x:v>
      </x:c>
      <x:c r="K876" s="1"/>
      <x:c r="L876" s="1"/>
    </x:row>
    <x:row r="877" ht="22" customHeight="1">
      <x:c r="A877" s="8" t="n">
        <x:v>33</x:v>
      </x:c>
      <x:c r="B877" s="6" t="n">
        <x:v>45202</x:v>
      </x:c>
      <x:c r="C877" s="2" t="str">
        <x:v>Продукты</x:v>
      </x:c>
      <x:c r="D877" s="2" t="str">
        <x:v>Шоколад</x:v>
      </x:c>
      <x:c r="E877" s="7" t="n">
        <x:v>89719.92</x:v>
      </x:c>
      <x:c r="F877" s="9" t="n">
        <x:v>3</x:v>
      </x:c>
      <x:c r="G877" s="2" t="str">
        <x:v>Санкт‑Петербург</x:v>
      </x:c>
      <x:c r="H877" s="7" t="n">
        <x:f>E877*F877</x:f>
        <x:v>269159.76</x:v>
      </x:c>
      <x:c r="I877" s="2" t="str">
        <x:f>TEXT(B877,"yyyy-mm")</x:f>
        <x:v>2023-10</x:v>
      </x:c>
      <x:c r="J877" s="8" t="n">
        <x:f>COUNTIFS($H$2:$H$1201,"&gt;"&amp;H877)+COUNTIFS($H$2:H877,H877)</x:f>
        <x:v>670</x:v>
      </x:c>
      <x:c r="K877" s="1"/>
      <x:c r="L877" s="1"/>
    </x:row>
    <x:row r="878" ht="22" customHeight="1">
      <x:c r="A878" s="8" t="n">
        <x:v>385</x:v>
      </x:c>
      <x:c r="B878" s="6" t="n">
        <x:v>45202</x:v>
      </x:c>
      <x:c r="C878" s="2" t="str">
        <x:v>Продукты</x:v>
      </x:c>
      <x:c r="D878" s="2" t="str">
        <x:v>Молоко</x:v>
      </x:c>
      <x:c r="E878" s="7" t="n">
        <x:v>59604.35</x:v>
      </x:c>
      <x:c r="F878" s="9" t="n">
        <x:v>6</x:v>
      </x:c>
      <x:c r="G878" s="2" t="str">
        <x:v>Москва</x:v>
      </x:c>
      <x:c r="H878" s="7" t="n">
        <x:f>E878*F878</x:f>
        <x:v>357626.1</x:v>
      </x:c>
      <x:c r="I878" s="2" t="str">
        <x:f>TEXT(B878,"yyyy-mm")</x:f>
        <x:v>2023-10</x:v>
      </x:c>
      <x:c r="J878" s="8" t="n">
        <x:f>COUNTIFS($H$2:$H$1201,"&gt;"&amp;H878)+COUNTIFS($H$2:H878,H878)</x:f>
        <x:v>576</x:v>
      </x:c>
      <x:c r="K878" s="1"/>
      <x:c r="L878" s="1"/>
    </x:row>
    <x:row r="879" ht="22" customHeight="1">
      <x:c r="A879" s="8" t="n">
        <x:v>609</x:v>
      </x:c>
      <x:c r="B879" s="6" t="n">
        <x:v>45202</x:v>
      </x:c>
      <x:c r="C879" s="2" t="str">
        <x:v>Продукты</x:v>
      </x:c>
      <x:c r="D879" s="2" t="str">
        <x:v>Кофе</x:v>
      </x:c>
      <x:c r="E879" s="7" t="n">
        <x:v>36497.54</x:v>
      </x:c>
      <x:c r="F879" s="9" t="n">
        <x:v>10</x:v>
      </x:c>
      <x:c r="G879" s="2" t="str">
        <x:v>Москва</x:v>
      </x:c>
      <x:c r="H879" s="7" t="n">
        <x:f>E879*F879</x:f>
        <x:v>364975.4</x:v>
      </x:c>
      <x:c r="I879" s="2" t="str">
        <x:f>TEXT(B879,"yyyy-mm")</x:f>
        <x:v>2023-10</x:v>
      </x:c>
      <x:c r="J879" s="8" t="n">
        <x:f>COUNTIFS($H$2:$H$1201,"&gt;"&amp;H879)+COUNTIFS($H$2:H879,H879)</x:f>
        <x:v>566</x:v>
      </x:c>
      <x:c r="K879" s="1"/>
      <x:c r="L879" s="1"/>
    </x:row>
    <x:row r="880" ht="22" customHeight="1">
      <x:c r="A880" s="8" t="n">
        <x:v>655</x:v>
      </x:c>
      <x:c r="B880" s="6" t="n">
        <x:v>45202</x:v>
      </x:c>
      <x:c r="C880" s="2" t="str">
        <x:v>Одежда</x:v>
      </x:c>
      <x:c r="D880" s="2" t="str">
        <x:v>Куртка</x:v>
      </x:c>
      <x:c r="E880" s="7" t="n">
        <x:v>5661.47</x:v>
      </x:c>
      <x:c r="F880" s="9" t="n">
        <x:v>10</x:v>
      </x:c>
      <x:c r="G880" s="2" t="str">
        <x:v>Московская область</x:v>
      </x:c>
      <x:c r="H880" s="7" t="n">
        <x:f>E880*F880</x:f>
        <x:v>56614.700000000004</x:v>
      </x:c>
      <x:c r="I880" s="2" t="str">
        <x:f>TEXT(B880,"yyyy-mm")</x:f>
        <x:v>2023-10</x:v>
      </x:c>
      <x:c r="J880" s="8" t="n">
        <x:f>COUNTIFS($H$2:$H$1201,"&gt;"&amp;H880)+COUNTIFS($H$2:H880,H880)</x:f>
        <x:v>1074</x:v>
      </x:c>
      <x:c r="K880" s="1"/>
      <x:c r="L880" s="1"/>
    </x:row>
    <x:row r="881" ht="22" customHeight="1">
      <x:c r="A881" s="8" t="n">
        <x:v>687</x:v>
      </x:c>
      <x:c r="B881" s="6" t="n">
        <x:v>45202</x:v>
      </x:c>
      <x:c r="C881" s="2" t="str">
        <x:v>Одежда</x:v>
      </x:c>
      <x:c r="D881" s="2" t="str">
        <x:v>Куртка</x:v>
      </x:c>
      <x:c r="E881" s="7" t="n">
        <x:v>137416.74</x:v>
      </x:c>
      <x:c r="F881" s="9" t="n">
        <x:v>3</x:v>
      </x:c>
      <x:c r="G881" s="2" t="str">
        <x:v>Московская область</x:v>
      </x:c>
      <x:c r="H881" s="7" t="n">
        <x:f>E881*F881</x:f>
        <x:v>412250.22</x:v>
      </x:c>
      <x:c r="I881" s="2" t="str">
        <x:f>TEXT(B881,"yyyy-mm")</x:f>
        <x:v>2023-10</x:v>
      </x:c>
      <x:c r="J881" s="8" t="n">
        <x:f>COUNTIFS($H$2:$H$1201,"&gt;"&amp;H881)+COUNTIFS($H$2:H881,H881)</x:f>
        <x:v>503</x:v>
      </x:c>
      <x:c r="K881" s="1"/>
      <x:c r="L881" s="1"/>
    </x:row>
    <x:row r="882" ht="22" customHeight="1">
      <x:c r="A882" s="8" t="n">
        <x:v>1050</x:v>
      </x:c>
      <x:c r="B882" s="6" t="n">
        <x:v>45202</x:v>
      </x:c>
      <x:c r="C882" s="2" t="str">
        <x:v>Товары для дома</x:v>
      </x:c>
      <x:c r="D882" s="2" t="str">
        <x:v>Подушка</x:v>
      </x:c>
      <x:c r="E882" s="7" t="n">
        <x:v>24017.68</x:v>
      </x:c>
      <x:c r="F882" s="9" t="n">
        <x:v>7</x:v>
      </x:c>
      <x:c r="G882" s="2" t="str">
        <x:v>Москва</x:v>
      </x:c>
      <x:c r="H882" s="7" t="n">
        <x:f>E882*F882</x:f>
        <x:v>168123.76</x:v>
      </x:c>
      <x:c r="I882" s="2" t="str">
        <x:f>TEXT(B882,"yyyy-mm")</x:f>
        <x:v>2023-10</x:v>
      </x:c>
      <x:c r="J882" s="8" t="n">
        <x:f>COUNTIFS($H$2:$H$1201,"&gt;"&amp;H882)+COUNTIFS($H$2:H882,H882)</x:f>
        <x:v>826</x:v>
      </x:c>
      <x:c r="K882" s="1"/>
      <x:c r="L882" s="1"/>
    </x:row>
    <x:row r="883" ht="22" customHeight="1">
      <x:c r="A883" s="8" t="n">
        <x:v>275</x:v>
      </x:c>
      <x:c r="B883" s="6" t="n">
        <x:v>45203</x:v>
      </x:c>
      <x:c r="C883" s="2" t="str">
        <x:v>Электроника</x:v>
      </x:c>
      <x:c r="D883" s="2" t="str">
        <x:v>Ноутбук</x:v>
      </x:c>
      <x:c r="E883" s="7" t="n">
        <x:v>36026.89</x:v>
      </x:c>
      <x:c r="F883" s="9" t="n">
        <x:v>6</x:v>
      </x:c>
      <x:c r="G883" s="2" t="str">
        <x:v>Московская область</x:v>
      </x:c>
      <x:c r="H883" s="7" t="n">
        <x:f>E883*F883</x:f>
        <x:v>216161.34</x:v>
      </x:c>
      <x:c r="I883" s="2" t="str">
        <x:f>TEXT(B883,"yyyy-mm")</x:f>
        <x:v>2023-10</x:v>
      </x:c>
      <x:c r="J883" s="8" t="n">
        <x:f>COUNTIFS($H$2:$H$1201,"&gt;"&amp;H883)+COUNTIFS($H$2:H883,H883)</x:f>
        <x:v>762</x:v>
      </x:c>
      <x:c r="K883" s="1"/>
      <x:c r="L883" s="1"/>
    </x:row>
    <x:row r="884" ht="22" customHeight="1">
      <x:c r="A884" s="8" t="n">
        <x:v>455</x:v>
      </x:c>
      <x:c r="B884" s="6" t="n">
        <x:v>45203</x:v>
      </x:c>
      <x:c r="C884" s="2" t="str">
        <x:v>Товары для дома</x:v>
      </x:c>
      <x:c r="D884" s="2" t="str">
        <x:v>Подушка</x:v>
      </x:c>
      <x:c r="E884" s="7" t="n">
        <x:v>54586.31</x:v>
      </x:c>
      <x:c r="F884" s="9" t="n">
        <x:v>9</x:v>
      </x:c>
      <x:c r="G884" s="2" t="str">
        <x:v>Казань</x:v>
      </x:c>
      <x:c r="H884" s="7" t="n">
        <x:f>E884*F884</x:f>
        <x:v>491276.79</x:v>
      </x:c>
      <x:c r="I884" s="2" t="str">
        <x:f>TEXT(B884,"yyyy-mm")</x:f>
        <x:v>2023-10</x:v>
      </x:c>
      <x:c r="J884" s="8" t="n">
        <x:f>COUNTIFS($H$2:$H$1201,"&gt;"&amp;H884)+COUNTIFS($H$2:H884,H884)</x:f>
        <x:v>420</x:v>
      </x:c>
      <x:c r="K884" s="1"/>
      <x:c r="L884" s="1"/>
    </x:row>
    <x:row r="885" ht="22" customHeight="1">
      <x:c r="A885" s="8" t="n">
        <x:v>991</x:v>
      </x:c>
      <x:c r="B885" s="6" t="n">
        <x:v>45203</x:v>
      </x:c>
      <x:c r="C885" s="2" t="str">
        <x:v>Электроника</x:v>
      </x:c>
      <x:c r="D885" s="2" t="str">
        <x:v>Планшет</x:v>
      </x:c>
      <x:c r="E885" s="7" t="n">
        <x:v>133975.4</x:v>
      </x:c>
      <x:c r="F885" s="9" t="n">
        <x:v>1</x:v>
      </x:c>
      <x:c r="G885" s="2" t="str">
        <x:v>Москва</x:v>
      </x:c>
      <x:c r="H885" s="7" t="n">
        <x:f>E885*F885</x:f>
        <x:v>133975.4</x:v>
      </x:c>
      <x:c r="I885" s="2" t="str">
        <x:f>TEXT(B885,"yyyy-mm")</x:f>
        <x:v>2023-10</x:v>
      </x:c>
      <x:c r="J885" s="8" t="n">
        <x:f>COUNTIFS($H$2:$H$1201,"&gt;"&amp;H885)+COUNTIFS($H$2:H885,H885)</x:f>
        <x:v>895</x:v>
      </x:c>
      <x:c r="K885" s="1"/>
      <x:c r="L885" s="1"/>
    </x:row>
    <x:row r="886" ht="22" customHeight="1">
      <x:c r="A886" s="8" t="n">
        <x:v>19</x:v>
      </x:c>
      <x:c r="B886" s="6" t="n">
        <x:v>45204</x:v>
      </x:c>
      <x:c r="C886" s="2" t="str">
        <x:v>Электроника</x:v>
      </x:c>
      <x:c r="D886" s="2" t="str">
        <x:v>Планшет</x:v>
      </x:c>
      <x:c r="E886" s="7" t="n">
        <x:v>99809.67</x:v>
      </x:c>
      <x:c r="F886" s="9" t="n">
        <x:v>4</x:v>
      </x:c>
      <x:c r="G886" s="2" t="str">
        <x:v>Московская область</x:v>
      </x:c>
      <x:c r="H886" s="7" t="n">
        <x:f>E886*F886</x:f>
        <x:v>399238.68</x:v>
      </x:c>
      <x:c r="I886" s="2" t="str">
        <x:f>TEXT(B886,"yyyy-mm")</x:f>
        <x:v>2023-10</x:v>
      </x:c>
      <x:c r="J886" s="8" t="n">
        <x:f>COUNTIFS($H$2:$H$1201,"&gt;"&amp;H886)+COUNTIFS($H$2:H886,H886)</x:f>
        <x:v>519</x:v>
      </x:c>
      <x:c r="K886" s="1"/>
      <x:c r="L886" s="1"/>
    </x:row>
    <x:row r="887" ht="22" customHeight="1">
      <x:c r="A887" s="8" t="n">
        <x:v>27</x:v>
      </x:c>
      <x:c r="B887" s="6" t="n">
        <x:v>45204</x:v>
      </x:c>
      <x:c r="C887" s="2" t="str">
        <x:v>Товары для дома</x:v>
      </x:c>
      <x:c r="D887" s="2" t="str">
        <x:v>Полотенце</x:v>
      </x:c>
      <x:c r="E887" s="7" t="n">
        <x:v>121363.31</x:v>
      </x:c>
      <x:c r="F887" s="9" t="n">
        <x:v>4</x:v>
      </x:c>
      <x:c r="G887" s="2" t="str">
        <x:v>Московская область</x:v>
      </x:c>
      <x:c r="H887" s="7" t="n">
        <x:f>E887*F887</x:f>
        <x:v>485453.24</x:v>
      </x:c>
      <x:c r="I887" s="2" t="str">
        <x:f>TEXT(B887,"yyyy-mm")</x:f>
        <x:v>2023-10</x:v>
      </x:c>
      <x:c r="J887" s="8" t="n">
        <x:f>COUNTIFS($H$2:$H$1201,"&gt;"&amp;H887)+COUNTIFS($H$2:H887,H887)</x:f>
        <x:v>425</x:v>
      </x:c>
      <x:c r="K887" s="1"/>
      <x:c r="L887" s="1"/>
    </x:row>
    <x:row r="888" ht="22" customHeight="1">
      <x:c r="A888" s="8" t="n">
        <x:v>185</x:v>
      </x:c>
      <x:c r="B888" s="6" t="n">
        <x:v>45204</x:v>
      </x:c>
      <x:c r="C888" s="2" t="str">
        <x:v>Продукты</x:v>
      </x:c>
      <x:c r="D888" s="2" t="str">
        <x:v>Шоколад</x:v>
      </x:c>
      <x:c r="E888" s="7" t="n">
        <x:v>124308.43</x:v>
      </x:c>
      <x:c r="F888" s="9" t="n">
        <x:v>8</x:v>
      </x:c>
      <x:c r="G888" s="2" t="str">
        <x:v>Казань</x:v>
      </x:c>
      <x:c r="H888" s="7" t="n">
        <x:f>E888*F888</x:f>
        <x:v>994467.44</x:v>
      </x:c>
      <x:c r="I888" s="2" t="str">
        <x:f>TEXT(B888,"yyyy-mm")</x:f>
        <x:v>2023-10</x:v>
      </x:c>
      <x:c r="J888" s="8" t="n">
        <x:f>COUNTIFS($H$2:$H$1201,"&gt;"&amp;H888)+COUNTIFS($H$2:H888,H888)</x:f>
        <x:v>92</x:v>
      </x:c>
      <x:c r="K888" s="1"/>
      <x:c r="L888" s="1"/>
    </x:row>
    <x:row r="889" ht="22" customHeight="1">
      <x:c r="A889" s="8" t="n">
        <x:v>273</x:v>
      </x:c>
      <x:c r="B889" s="6" t="n">
        <x:v>45204</x:v>
      </x:c>
      <x:c r="C889" s="2" t="str">
        <x:v>Одежда</x:v>
      </x:c>
      <x:c r="D889" s="2" t="str">
        <x:v>Куртка</x:v>
      </x:c>
      <x:c r="E889" s="7" t="n">
        <x:v>105155.51</x:v>
      </x:c>
      <x:c r="F889" s="9" t="n">
        <x:v>9</x:v>
      </x:c>
      <x:c r="G889" s="2" t="str">
        <x:v>Новосибирск</x:v>
      </x:c>
      <x:c r="H889" s="7" t="n">
        <x:f>E889*F889</x:f>
        <x:v>946399.59</x:v>
      </x:c>
      <x:c r="I889" s="2" t="str">
        <x:f>TEXT(B889,"yyyy-mm")</x:f>
        <x:v>2023-10</x:v>
      </x:c>
      <x:c r="J889" s="8" t="n">
        <x:f>COUNTIFS($H$2:$H$1201,"&gt;"&amp;H889)+COUNTIFS($H$2:H889,H889)</x:f>
        <x:v>110</x:v>
      </x:c>
      <x:c r="K889" s="1"/>
      <x:c r="L889" s="1"/>
    </x:row>
    <x:row r="890" ht="22" customHeight="1">
      <x:c r="A890" s="8" t="n">
        <x:v>934</x:v>
      </x:c>
      <x:c r="B890" s="6" t="n">
        <x:v>45204</x:v>
      </x:c>
      <x:c r="C890" s="2" t="str">
        <x:v>Электроника</x:v>
      </x:c>
      <x:c r="D890" s="2" t="str">
        <x:v>Наушники</x:v>
      </x:c>
      <x:c r="E890" s="7" t="n">
        <x:v>136792.35</x:v>
      </x:c>
      <x:c r="F890" s="9" t="n">
        <x:v>4</x:v>
      </x:c>
      <x:c r="G890" s="2" t="str">
        <x:v>Казань</x:v>
      </x:c>
      <x:c r="H890" s="7" t="n">
        <x:f>E890*F890</x:f>
        <x:v>547169.4</x:v>
      </x:c>
      <x:c r="I890" s="2" t="str">
        <x:f>TEXT(B890,"yyyy-mm")</x:f>
        <x:v>2023-10</x:v>
      </x:c>
      <x:c r="J890" s="8" t="n">
        <x:f>COUNTIFS($H$2:$H$1201,"&gt;"&amp;H890)+COUNTIFS($H$2:H890,H890)</x:f>
        <x:v>371</x:v>
      </x:c>
      <x:c r="K890" s="1"/>
      <x:c r="L890" s="1"/>
    </x:row>
    <x:row r="891" ht="22" customHeight="1">
      <x:c r="A891" s="8" t="n">
        <x:v>186</x:v>
      </x:c>
      <x:c r="B891" s="6" t="n">
        <x:v>45205</x:v>
      </x:c>
      <x:c r="C891" s="2" t="str">
        <x:v>Одежда</x:v>
      </x:c>
      <x:c r="D891" s="2" t="str">
        <x:v>Куртка</x:v>
      </x:c>
      <x:c r="E891" s="7" t="n">
        <x:v>80879.46</x:v>
      </x:c>
      <x:c r="F891" s="9" t="n">
        <x:v>8</x:v>
      </x:c>
      <x:c r="G891" s="2" t="str">
        <x:v>Московская область</x:v>
      </x:c>
      <x:c r="H891" s="7" t="n">
        <x:f>E891*F891</x:f>
        <x:v>647035.68</x:v>
      </x:c>
      <x:c r="I891" s="2" t="str">
        <x:f>TEXT(B891,"yyyy-mm")</x:f>
        <x:v>2023-10</x:v>
      </x:c>
      <x:c r="J891" s="8" t="n">
        <x:f>COUNTIFS($H$2:$H$1201,"&gt;"&amp;H891)+COUNTIFS($H$2:H891,H891)</x:f>
        <x:v>298</x:v>
      </x:c>
      <x:c r="K891" s="1"/>
      <x:c r="L891" s="1"/>
    </x:row>
    <x:row r="892" ht="22" customHeight="1">
      <x:c r="A892" s="8" t="n">
        <x:v>532</x:v>
      </x:c>
      <x:c r="B892" s="6" t="n">
        <x:v>45205</x:v>
      </x:c>
      <x:c r="C892" s="2" t="str">
        <x:v>Одежда</x:v>
      </x:c>
      <x:c r="D892" s="2" t="str">
        <x:v>Футболка</x:v>
      </x:c>
      <x:c r="E892" s="7" t="n">
        <x:v>5818.34</x:v>
      </x:c>
      <x:c r="F892" s="9" t="n">
        <x:v>3</x:v>
      </x:c>
      <x:c r="G892" s="2" t="str">
        <x:v>Екатеринбург</x:v>
      </x:c>
      <x:c r="H892" s="7" t="n">
        <x:f>E892*F892</x:f>
        <x:v>17455.02</x:v>
      </x:c>
      <x:c r="I892" s="2" t="str">
        <x:f>TEXT(B892,"yyyy-mm")</x:f>
        <x:v>2023-10</x:v>
      </x:c>
      <x:c r="J892" s="8" t="n">
        <x:f>COUNTIFS($H$2:$H$1201,"&gt;"&amp;H892)+COUNTIFS($H$2:H892,H892)</x:f>
        <x:v>1159</x:v>
      </x:c>
      <x:c r="K892" s="1"/>
      <x:c r="L892" s="1"/>
    </x:row>
    <x:row r="893" ht="22" customHeight="1">
      <x:c r="A893" s="8" t="n">
        <x:v>18</x:v>
      </x:c>
      <x:c r="B893" s="6" t="n">
        <x:v>45206</x:v>
      </x:c>
      <x:c r="C893" s="2" t="str">
        <x:v>Одежда</x:v>
      </x:c>
      <x:c r="D893" s="2" t="str">
        <x:v>Футболка</x:v>
      </x:c>
      <x:c r="E893" s="7" t="n">
        <x:v>71609.28</x:v>
      </x:c>
      <x:c r="F893" s="9" t="n">
        <x:v>6</x:v>
      </x:c>
      <x:c r="G893" s="2" t="str">
        <x:v>Московская область</x:v>
      </x:c>
      <x:c r="H893" s="7" t="n">
        <x:f>E893*F893</x:f>
        <x:v>429655.68</x:v>
      </x:c>
      <x:c r="I893" s="2" t="str">
        <x:f>TEXT(B893,"yyyy-mm")</x:f>
        <x:v>2023-10</x:v>
      </x:c>
      <x:c r="J893" s="8" t="n">
        <x:f>COUNTIFS($H$2:$H$1201,"&gt;"&amp;H893)+COUNTIFS($H$2:H893,H893)</x:f>
        <x:v>484</x:v>
      </x:c>
      <x:c r="K893" s="1"/>
      <x:c r="L893" s="1"/>
    </x:row>
    <x:row r="894" ht="22" customHeight="1">
      <x:c r="A894" s="8" t="n">
        <x:v>141</x:v>
      </x:c>
      <x:c r="B894" s="6" t="n">
        <x:v>45206</x:v>
      </x:c>
      <x:c r="C894" s="2" t="str">
        <x:v>Электроника</x:v>
      </x:c>
      <x:c r="D894" s="2" t="str">
        <x:v>Планшет</x:v>
      </x:c>
      <x:c r="E894" s="7" t="n">
        <x:v>11795.41</x:v>
      </x:c>
      <x:c r="F894" s="9" t="n">
        <x:v>1</x:v>
      </x:c>
      <x:c r="G894" s="2" t="str">
        <x:v>Москва</x:v>
      </x:c>
      <x:c r="H894" s="7" t="n">
        <x:f>E894*F894</x:f>
        <x:v>11795.41</x:v>
      </x:c>
      <x:c r="I894" s="2" t="str">
        <x:f>TEXT(B894,"yyyy-mm")</x:f>
        <x:v>2023-10</x:v>
      </x:c>
      <x:c r="J894" s="8" t="n">
        <x:f>COUNTIFS($H$2:$H$1201,"&gt;"&amp;H894)+COUNTIFS($H$2:H894,H894)</x:f>
        <x:v>1180</x:v>
      </x:c>
      <x:c r="K894" s="1"/>
      <x:c r="L894" s="1"/>
    </x:row>
    <x:row r="895" ht="22" customHeight="1">
      <x:c r="A895" s="8" t="n">
        <x:v>560</x:v>
      </x:c>
      <x:c r="B895" s="6" t="n">
        <x:v>45207</x:v>
      </x:c>
      <x:c r="C895" s="2" t="str">
        <x:v>Товары для дома</x:v>
      </x:c>
      <x:c r="D895" s="2" t="str">
        <x:v>Полотенце</x:v>
      </x:c>
      <x:c r="E895" s="7" t="n">
        <x:v>96475.13</x:v>
      </x:c>
      <x:c r="F895" s="9" t="n">
        <x:v>6</x:v>
      </x:c>
      <x:c r="G895" s="2" t="str">
        <x:v>Москва</x:v>
      </x:c>
      <x:c r="H895" s="7" t="n">
        <x:f>E895*F895</x:f>
        <x:v>578850.78</x:v>
      </x:c>
      <x:c r="I895" s="2" t="str">
        <x:f>TEXT(B895,"yyyy-mm")</x:f>
        <x:v>2023-10</x:v>
      </x:c>
      <x:c r="J895" s="8" t="n">
        <x:f>COUNTIFS($H$2:$H$1201,"&gt;"&amp;H895)+COUNTIFS($H$2:H895,H895)</x:f>
        <x:v>334</x:v>
      </x:c>
      <x:c r="K895" s="1"/>
      <x:c r="L895" s="1"/>
    </x:row>
    <x:row r="896" ht="22" customHeight="1">
      <x:c r="A896" s="8" t="n">
        <x:v>1034</x:v>
      </x:c>
      <x:c r="B896" s="6" t="n">
        <x:v>45207</x:v>
      </x:c>
      <x:c r="C896" s="2" t="str">
        <x:v>Одежда</x:v>
      </x:c>
      <x:c r="D896" s="2" t="str">
        <x:v>Футболка</x:v>
      </x:c>
      <x:c r="E896" s="7" t="n">
        <x:v>98725.69</x:v>
      </x:c>
      <x:c r="F896" s="9" t="n">
        <x:v>9</x:v>
      </x:c>
      <x:c r="G896" s="2" t="str">
        <x:v>Казань</x:v>
      </x:c>
      <x:c r="H896" s="7" t="n">
        <x:f>E896*F896</x:f>
        <x:v>888531.21</x:v>
      </x:c>
      <x:c r="I896" s="2" t="str">
        <x:f>TEXT(B896,"yyyy-mm")</x:f>
        <x:v>2023-10</x:v>
      </x:c>
      <x:c r="J896" s="8" t="n">
        <x:f>COUNTIFS($H$2:$H$1201,"&gt;"&amp;H896)+COUNTIFS($H$2:H896,H896)</x:f>
        <x:v>140</x:v>
      </x:c>
      <x:c r="K896" s="1"/>
      <x:c r="L896" s="1"/>
    </x:row>
    <x:row r="897" ht="22" customHeight="1">
      <x:c r="A897" s="8" t="n">
        <x:v>1178</x:v>
      </x:c>
      <x:c r="B897" s="6" t="n">
        <x:v>45207</x:v>
      </x:c>
      <x:c r="C897" s="2" t="str">
        <x:v>Электроника</x:v>
      </x:c>
      <x:c r="D897" s="2" t="str">
        <x:v>Наушники</x:v>
      </x:c>
      <x:c r="E897" s="7" t="n">
        <x:v>64067.91</x:v>
      </x:c>
      <x:c r="F897" s="9" t="n">
        <x:v>1</x:v>
      </x:c>
      <x:c r="G897" s="2" t="str">
        <x:v>Новосибирск</x:v>
      </x:c>
      <x:c r="H897" s="7" t="n">
        <x:f>E897*F897</x:f>
        <x:v>64067.91</x:v>
      </x:c>
      <x:c r="I897" s="2" t="str">
        <x:f>TEXT(B897,"yyyy-mm")</x:f>
        <x:v>2023-10</x:v>
      </x:c>
      <x:c r="J897" s="8" t="n">
        <x:f>COUNTIFS($H$2:$H$1201,"&gt;"&amp;H897)+COUNTIFS($H$2:H897,H897)</x:f>
        <x:v>1048</x:v>
      </x:c>
      <x:c r="K897" s="1"/>
      <x:c r="L897" s="1"/>
    </x:row>
    <x:row r="898" ht="22" customHeight="1">
      <x:c r="A898" s="8" t="n">
        <x:v>100</x:v>
      </x:c>
      <x:c r="B898" s="6" t="n">
        <x:v>45208</x:v>
      </x:c>
      <x:c r="C898" s="2" t="str">
        <x:v>Товары для дома</x:v>
      </x:c>
      <x:c r="D898" s="2" t="str">
        <x:v>Плед</x:v>
      </x:c>
      <x:c r="E898" s="7" t="n">
        <x:v>26252.93</x:v>
      </x:c>
      <x:c r="F898" s="9" t="n">
        <x:v>6</x:v>
      </x:c>
      <x:c r="G898" s="2" t="str">
        <x:v>Москва</x:v>
      </x:c>
      <x:c r="H898" s="7" t="n">
        <x:f>E898*F898</x:f>
        <x:v>157517.58000000002</x:v>
      </x:c>
      <x:c r="I898" s="2" t="str">
        <x:f>TEXT(B898,"yyyy-mm")</x:f>
        <x:v>2023-10</x:v>
      </x:c>
      <x:c r="J898" s="8" t="n">
        <x:f>COUNTIFS($H$2:$H$1201,"&gt;"&amp;H898)+COUNTIFS($H$2:H898,H898)</x:f>
        <x:v>842</x:v>
      </x:c>
      <x:c r="K898" s="1"/>
      <x:c r="L898" s="1"/>
    </x:row>
    <x:row r="899" ht="22" customHeight="1">
      <x:c r="A899" s="8" t="n">
        <x:v>1030</x:v>
      </x:c>
      <x:c r="B899" s="6" t="n">
        <x:v>45208</x:v>
      </x:c>
      <x:c r="C899" s="2" t="str">
        <x:v>Продукты</x:v>
      </x:c>
      <x:c r="D899" s="2" t="str">
        <x:v>Шоколад</x:v>
      </x:c>
      <x:c r="E899" s="7" t="n">
        <x:v>16443.3</x:v>
      </x:c>
      <x:c r="F899" s="9" t="n">
        <x:v>8</x:v>
      </x:c>
      <x:c r="G899" s="2" t="str">
        <x:v>Екатеринбург</x:v>
      </x:c>
      <x:c r="H899" s="7" t="n">
        <x:f>E899*F899</x:f>
        <x:v>131546.4</x:v>
      </x:c>
      <x:c r="I899" s="2" t="str">
        <x:f>TEXT(B899,"yyyy-mm")</x:f>
        <x:v>2023-10</x:v>
      </x:c>
      <x:c r="J899" s="8" t="n">
        <x:f>COUNTIFS($H$2:$H$1201,"&gt;"&amp;H899)+COUNTIFS($H$2:H899,H899)</x:f>
        <x:v>901</x:v>
      </x:c>
      <x:c r="K899" s="1"/>
      <x:c r="L899" s="1"/>
    </x:row>
    <x:row r="900" ht="22" customHeight="1">
      <x:c r="A900" s="8" t="n">
        <x:v>133</x:v>
      </x:c>
      <x:c r="B900" s="6" t="n">
        <x:v>45209</x:v>
      </x:c>
      <x:c r="C900" s="2" t="str">
        <x:v>Товары для дома</x:v>
      </x:c>
      <x:c r="D900" s="2" t="str">
        <x:v>Плед</x:v>
      </x:c>
      <x:c r="E900" s="7" t="n">
        <x:v>12506.23</x:v>
      </x:c>
      <x:c r="F900" s="9" t="n">
        <x:v>7</x:v>
      </x:c>
      <x:c r="G900" s="2" t="str">
        <x:v>Санкт‑Петербург</x:v>
      </x:c>
      <x:c r="H900" s="7" t="n">
        <x:f>E900*F900</x:f>
        <x:v>87543.61</x:v>
      </x:c>
      <x:c r="I900" s="2" t="str">
        <x:f>TEXT(B900,"yyyy-mm")</x:f>
        <x:v>2023-10</x:v>
      </x:c>
      <x:c r="J900" s="8" t="n">
        <x:f>COUNTIFS($H$2:$H$1201,"&gt;"&amp;H900)+COUNTIFS($H$2:H900,H900)</x:f>
        <x:v>999</x:v>
      </x:c>
      <x:c r="K900" s="1"/>
      <x:c r="L900" s="1"/>
    </x:row>
    <x:row r="901" ht="22" customHeight="1">
      <x:c r="A901" s="8" t="n">
        <x:v>567</x:v>
      </x:c>
      <x:c r="B901" s="6" t="n">
        <x:v>45209</x:v>
      </x:c>
      <x:c r="C901" s="2" t="str">
        <x:v>Продукты</x:v>
      </x:c>
      <x:c r="D901" s="2" t="str">
        <x:v>Молоко</x:v>
      </x:c>
      <x:c r="E901" s="7" t="n">
        <x:v>123266.05</x:v>
      </x:c>
      <x:c r="F901" s="9" t="n">
        <x:v>7</x:v>
      </x:c>
      <x:c r="G901" s="2" t="str">
        <x:v>Санкт‑Петербург</x:v>
      </x:c>
      <x:c r="H901" s="7" t="n">
        <x:f>E901*F901</x:f>
        <x:v>862862.35</x:v>
      </x:c>
      <x:c r="I901" s="2" t="str">
        <x:f>TEXT(B901,"yyyy-mm")</x:f>
        <x:v>2023-10</x:v>
      </x:c>
      <x:c r="J901" s="8" t="n">
        <x:f>COUNTIFS($H$2:$H$1201,"&gt;"&amp;H901)+COUNTIFS($H$2:H901,H901)</x:f>
        <x:v>157</x:v>
      </x:c>
      <x:c r="K901" s="1"/>
      <x:c r="L901" s="1"/>
    </x:row>
    <x:row r="902" ht="22" customHeight="1">
      <x:c r="A902" s="8" t="n">
        <x:v>661</x:v>
      </x:c>
      <x:c r="B902" s="6" t="n">
        <x:v>45209</x:v>
      </x:c>
      <x:c r="C902" s="2" t="str">
        <x:v>Продукты</x:v>
      </x:c>
      <x:c r="D902" s="2" t="str">
        <x:v>Кофе</x:v>
      </x:c>
      <x:c r="E902" s="7" t="n">
        <x:v>104916.99</x:v>
      </x:c>
      <x:c r="F902" s="9" t="n">
        <x:v>8</x:v>
      </x:c>
      <x:c r="G902" s="2" t="str">
        <x:v>Казань</x:v>
      </x:c>
      <x:c r="H902" s="7" t="n">
        <x:f>E902*F902</x:f>
        <x:v>839335.92</x:v>
      </x:c>
      <x:c r="I902" s="2" t="str">
        <x:f>TEXT(B902,"yyyy-mm")</x:f>
        <x:v>2023-10</x:v>
      </x:c>
      <x:c r="J902" s="8" t="n">
        <x:f>COUNTIFS($H$2:$H$1201,"&gt;"&amp;H902)+COUNTIFS($H$2:H902,H902)</x:f>
        <x:v>172</x:v>
      </x:c>
      <x:c r="K902" s="1"/>
      <x:c r="L902" s="1"/>
    </x:row>
    <x:row r="903" ht="22" customHeight="1">
      <x:c r="A903" s="8" t="n">
        <x:v>707</x:v>
      </x:c>
      <x:c r="B903" s="6" t="n">
        <x:v>45209</x:v>
      </x:c>
      <x:c r="C903" s="2" t="str">
        <x:v>Одежда</x:v>
      </x:c>
      <x:c r="D903" s="2" t="str">
        <x:v>Футболка</x:v>
      </x:c>
      <x:c r="E903" s="7" t="n">
        <x:v>69954.28</x:v>
      </x:c>
      <x:c r="F903" s="9" t="n">
        <x:v>2</x:v>
      </x:c>
      <x:c r="G903" s="2" t="str">
        <x:v>Новосибирск</x:v>
      </x:c>
      <x:c r="H903" s="7" t="n">
        <x:f>E903*F903</x:f>
        <x:v>139908.56</x:v>
      </x:c>
      <x:c r="I903" s="2" t="str">
        <x:f>TEXT(B903,"yyyy-mm")</x:f>
        <x:v>2023-10</x:v>
      </x:c>
      <x:c r="J903" s="8" t="n">
        <x:f>COUNTIFS($H$2:$H$1201,"&gt;"&amp;H903)+COUNTIFS($H$2:H903,H903)</x:f>
        <x:v>877</x:v>
      </x:c>
      <x:c r="K903" s="1"/>
      <x:c r="L903" s="1"/>
    </x:row>
    <x:row r="904" ht="22" customHeight="1">
      <x:c r="A904" s="8" t="n">
        <x:v>1123</x:v>
      </x:c>
      <x:c r="B904" s="6" t="n">
        <x:v>45209</x:v>
      </x:c>
      <x:c r="C904" s="2" t="str">
        <x:v>Одежда</x:v>
      </x:c>
      <x:c r="D904" s="2" t="str">
        <x:v>Кроссовки</x:v>
      </x:c>
      <x:c r="E904" s="7" t="n">
        <x:v>53542.63</x:v>
      </x:c>
      <x:c r="F904" s="9" t="n">
        <x:v>9</x:v>
      </x:c>
      <x:c r="G904" s="2" t="str">
        <x:v>Московская область</x:v>
      </x:c>
      <x:c r="H904" s="7" t="n">
        <x:f>E904*F904</x:f>
        <x:v>481883.67</x:v>
      </x:c>
      <x:c r="I904" s="2" t="str">
        <x:f>TEXT(B904,"yyyy-mm")</x:f>
        <x:v>2023-10</x:v>
      </x:c>
      <x:c r="J904" s="8" t="n">
        <x:f>COUNTIFS($H$2:$H$1201,"&gt;"&amp;H904)+COUNTIFS($H$2:H904,H904)</x:f>
        <x:v>426</x:v>
      </x:c>
      <x:c r="K904" s="1"/>
      <x:c r="L904" s="1"/>
    </x:row>
    <x:row r="905" ht="22" customHeight="1">
      <x:c r="A905" s="8" t="n">
        <x:v>1169</x:v>
      </x:c>
      <x:c r="B905" s="6" t="n">
        <x:v>45209</x:v>
      </x:c>
      <x:c r="C905" s="2" t="str">
        <x:v>Товары для дома</x:v>
      </x:c>
      <x:c r="D905" s="2" t="str">
        <x:v>Полотенце</x:v>
      </x:c>
      <x:c r="E905" s="7" t="n">
        <x:v>35206.25</x:v>
      </x:c>
      <x:c r="F905" s="9" t="n">
        <x:v>5</x:v>
      </x:c>
      <x:c r="G905" s="2" t="str">
        <x:v>Москва</x:v>
      </x:c>
      <x:c r="H905" s="7" t="n">
        <x:f>E905*F905</x:f>
        <x:v>176031.25</x:v>
      </x:c>
      <x:c r="I905" s="2" t="str">
        <x:f>TEXT(B905,"yyyy-mm")</x:f>
        <x:v>2023-10</x:v>
      </x:c>
      <x:c r="J905" s="8" t="n">
        <x:f>COUNTIFS($H$2:$H$1201,"&gt;"&amp;H905)+COUNTIFS($H$2:H905,H905)</x:f>
        <x:v>817</x:v>
      </x:c>
      <x:c r="K905" s="1"/>
      <x:c r="L905" s="1"/>
    </x:row>
    <x:row r="906" ht="22" customHeight="1">
      <x:c r="A906" s="8" t="n">
        <x:v>114</x:v>
      </x:c>
      <x:c r="B906" s="6" t="n">
        <x:v>45210</x:v>
      </x:c>
      <x:c r="C906" s="2" t="str">
        <x:v>Продукты</x:v>
      </x:c>
      <x:c r="D906" s="2" t="str">
        <x:v>Кофе</x:v>
      </x:c>
      <x:c r="E906" s="7" t="n">
        <x:v>107815.83</x:v>
      </x:c>
      <x:c r="F906" s="9" t="n">
        <x:v>1</x:v>
      </x:c>
      <x:c r="G906" s="2" t="str">
        <x:v>Москва</x:v>
      </x:c>
      <x:c r="H906" s="7" t="n">
        <x:f>E906*F906</x:f>
        <x:v>107815.83</x:v>
      </x:c>
      <x:c r="I906" s="2" t="str">
        <x:f>TEXT(B906,"yyyy-mm")</x:f>
        <x:v>2023-10</x:v>
      </x:c>
      <x:c r="J906" s="8" t="n">
        <x:f>COUNTIFS($H$2:$H$1201,"&gt;"&amp;H906)+COUNTIFS($H$2:H906,H906)</x:f>
        <x:v>954</x:v>
      </x:c>
      <x:c r="K906" s="1"/>
      <x:c r="L906" s="1"/>
    </x:row>
    <x:row r="907" ht="22" customHeight="1">
      <x:c r="A907" s="8" t="n">
        <x:v>662</x:v>
      </x:c>
      <x:c r="B907" s="6" t="n">
        <x:v>45210</x:v>
      </x:c>
      <x:c r="C907" s="2" t="str">
        <x:v>Продукты</x:v>
      </x:c>
      <x:c r="D907" s="2" t="str">
        <x:v>Шоколад</x:v>
      </x:c>
      <x:c r="E907" s="7" t="n">
        <x:v>81142.18</x:v>
      </x:c>
      <x:c r="F907" s="9" t="n">
        <x:v>10</x:v>
      </x:c>
      <x:c r="G907" s="2" t="str">
        <x:v>Казань</x:v>
      </x:c>
      <x:c r="H907" s="7" t="n">
        <x:f>E907*F907</x:f>
        <x:v>811421.7999999999</x:v>
      </x:c>
      <x:c r="I907" s="2" t="str">
        <x:f>TEXT(B907,"yyyy-mm")</x:f>
        <x:v>2023-10</x:v>
      </x:c>
      <x:c r="J907" s="8" t="n">
        <x:f>COUNTIFS($H$2:$H$1201,"&gt;"&amp;H907)+COUNTIFS($H$2:H907,H907)</x:f>
        <x:v>187</x:v>
      </x:c>
      <x:c r="K907" s="1"/>
      <x:c r="L907" s="1"/>
    </x:row>
    <x:row r="908" ht="22" customHeight="1">
      <x:c r="A908" s="8" t="n">
        <x:v>715</x:v>
      </x:c>
      <x:c r="B908" s="6" t="n">
        <x:v>45210</x:v>
      </x:c>
      <x:c r="C908" s="2" t="str">
        <x:v>Электроника</x:v>
      </x:c>
      <x:c r="D908" s="2" t="str">
        <x:v>Ноутбук</x:v>
      </x:c>
      <x:c r="E908" s="7" t="n">
        <x:v>5043.9</x:v>
      </x:c>
      <x:c r="F908" s="9" t="n">
        <x:v>10</x:v>
      </x:c>
      <x:c r="G908" s="2" t="str">
        <x:v>Екатеринбург</x:v>
      </x:c>
      <x:c r="H908" s="7" t="n">
        <x:f>E908*F908</x:f>
        <x:v>50439</x:v>
      </x:c>
      <x:c r="I908" s="2" t="str">
        <x:f>TEXT(B908,"yyyy-mm")</x:f>
        <x:v>2023-10</x:v>
      </x:c>
      <x:c r="J908" s="8" t="n">
        <x:f>COUNTIFS($H$2:$H$1201,"&gt;"&amp;H908)+COUNTIFS($H$2:H908,H908)</x:f>
        <x:v>1084</x:v>
      </x:c>
      <x:c r="K908" s="1"/>
      <x:c r="L908" s="1"/>
    </x:row>
    <x:row r="909" ht="22" customHeight="1">
      <x:c r="A909" s="8" t="n">
        <x:v>954</x:v>
      </x:c>
      <x:c r="B909" s="6" t="n">
        <x:v>45210</x:v>
      </x:c>
      <x:c r="C909" s="2" t="str">
        <x:v>Электроника</x:v>
      </x:c>
      <x:c r="D909" s="2" t="str">
        <x:v>Смартфон</x:v>
      </x:c>
      <x:c r="E909" s="7" t="n">
        <x:v>67461.89</x:v>
      </x:c>
      <x:c r="F909" s="9" t="n">
        <x:v>7</x:v>
      </x:c>
      <x:c r="G909" s="2" t="str">
        <x:v>Екатеринбург</x:v>
      </x:c>
      <x:c r="H909" s="7" t="n">
        <x:f>E909*F909</x:f>
        <x:v>472233.23</x:v>
      </x:c>
      <x:c r="I909" s="2" t="str">
        <x:f>TEXT(B909,"yyyy-mm")</x:f>
        <x:v>2023-10</x:v>
      </x:c>
      <x:c r="J909" s="8" t="n">
        <x:f>COUNTIFS($H$2:$H$1201,"&gt;"&amp;H909)+COUNTIFS($H$2:H909,H909)</x:f>
        <x:v>433</x:v>
      </x:c>
      <x:c r="K909" s="1"/>
      <x:c r="L909" s="1"/>
    </x:row>
    <x:row r="910" ht="22" customHeight="1">
      <x:c r="A910" s="8" t="n">
        <x:v>986</x:v>
      </x:c>
      <x:c r="B910" s="6" t="n">
        <x:v>45210</x:v>
      </x:c>
      <x:c r="C910" s="2" t="str">
        <x:v>Электроника</x:v>
      </x:c>
      <x:c r="D910" s="2" t="str">
        <x:v>Планшет</x:v>
      </x:c>
      <x:c r="E910" s="7" t="n">
        <x:v>72077.88</x:v>
      </x:c>
      <x:c r="F910" s="9" t="n">
        <x:v>7</x:v>
      </x:c>
      <x:c r="G910" s="2" t="str">
        <x:v>Казань</x:v>
      </x:c>
      <x:c r="H910" s="7" t="n">
        <x:f>E910*F910</x:f>
        <x:v>504545.16000000003</x:v>
      </x:c>
      <x:c r="I910" s="2" t="str">
        <x:f>TEXT(B910,"yyyy-mm")</x:f>
        <x:v>2023-10</x:v>
      </x:c>
      <x:c r="J910" s="8" t="n">
        <x:f>COUNTIFS($H$2:$H$1201,"&gt;"&amp;H910)+COUNTIFS($H$2:H910,H910)</x:f>
        <x:v>406</x:v>
      </x:c>
      <x:c r="K910" s="1"/>
      <x:c r="L910" s="1"/>
    </x:row>
    <x:row r="911" ht="22" customHeight="1">
      <x:c r="A911" s="8" t="n">
        <x:v>307</x:v>
      </x:c>
      <x:c r="B911" s="6" t="n">
        <x:v>45212</x:v>
      </x:c>
      <x:c r="C911" s="2" t="str">
        <x:v>Продукты</x:v>
      </x:c>
      <x:c r="D911" s="2" t="str">
        <x:v>Кофе</x:v>
      </x:c>
      <x:c r="E911" s="7" t="n">
        <x:v>10239.32</x:v>
      </x:c>
      <x:c r="F911" s="9" t="n">
        <x:v>3</x:v>
      </x:c>
      <x:c r="G911" s="2" t="str">
        <x:v>Новосибирск</x:v>
      </x:c>
      <x:c r="H911" s="7" t="n">
        <x:f>E911*F911</x:f>
        <x:v>30717.96</x:v>
      </x:c>
      <x:c r="I911" s="2" t="str">
        <x:f>TEXT(B911,"yyyy-mm")</x:f>
        <x:v>2023-10</x:v>
      </x:c>
      <x:c r="J911" s="8" t="n">
        <x:f>COUNTIFS($H$2:$H$1201,"&gt;"&amp;H911)+COUNTIFS($H$2:H911,H911)</x:f>
        <x:v>1125</x:v>
      </x:c>
      <x:c r="K911" s="1"/>
      <x:c r="L911" s="1"/>
    </x:row>
    <x:row r="912" ht="22" customHeight="1">
      <x:c r="A912" s="8" t="n">
        <x:v>518</x:v>
      </x:c>
      <x:c r="B912" s="6" t="n">
        <x:v>45212</x:v>
      </x:c>
      <x:c r="C912" s="2" t="str">
        <x:v>Продукты</x:v>
      </x:c>
      <x:c r="D912" s="2" t="str">
        <x:v>Хлеб</x:v>
      </x:c>
      <x:c r="E912" s="7" t="n">
        <x:v>132323.2</x:v>
      </x:c>
      <x:c r="F912" s="9" t="n">
        <x:v>2</x:v>
      </x:c>
      <x:c r="G912" s="2" t="str">
        <x:v>Санкт‑Петербург</x:v>
      </x:c>
      <x:c r="H912" s="7" t="n">
        <x:f>E912*F912</x:f>
        <x:v>264646.4</x:v>
      </x:c>
      <x:c r="I912" s="2" t="str">
        <x:f>TEXT(B912,"yyyy-mm")</x:f>
        <x:v>2023-10</x:v>
      </x:c>
      <x:c r="J912" s="8" t="n">
        <x:f>COUNTIFS($H$2:$H$1201,"&gt;"&amp;H912)+COUNTIFS($H$2:H912,H912)</x:f>
        <x:v>678</x:v>
      </x:c>
      <x:c r="K912" s="1"/>
      <x:c r="L912" s="1"/>
    </x:row>
    <x:row r="913" ht="22" customHeight="1">
      <x:c r="A913" s="8" t="n">
        <x:v>746</x:v>
      </x:c>
      <x:c r="B913" s="6" t="n">
        <x:v>45212</x:v>
      </x:c>
      <x:c r="C913" s="2" t="str">
        <x:v>Электроника</x:v>
      </x:c>
      <x:c r="D913" s="2" t="str">
        <x:v>Смартфон</x:v>
      </x:c>
      <x:c r="E913" s="7" t="n">
        <x:v>148806.13</x:v>
      </x:c>
      <x:c r="F913" s="9" t="n">
        <x:v>4</x:v>
      </x:c>
      <x:c r="G913" s="2" t="str">
        <x:v>Московская область</x:v>
      </x:c>
      <x:c r="H913" s="7" t="n">
        <x:f>E913*F913</x:f>
        <x:v>595224.52</x:v>
      </x:c>
      <x:c r="I913" s="2" t="str">
        <x:f>TEXT(B913,"yyyy-mm")</x:f>
        <x:v>2023-10</x:v>
      </x:c>
      <x:c r="J913" s="8" t="n">
        <x:f>COUNTIFS($H$2:$H$1201,"&gt;"&amp;H913)+COUNTIFS($H$2:H913,H913)</x:f>
        <x:v>322</x:v>
      </x:c>
      <x:c r="K913" s="1"/>
      <x:c r="L913" s="1"/>
    </x:row>
    <x:row r="914" ht="22" customHeight="1">
      <x:c r="A914" s="8" t="n">
        <x:v>306</x:v>
      </x:c>
      <x:c r="B914" s="6" t="n">
        <x:v>45213</x:v>
      </x:c>
      <x:c r="C914" s="2" t="str">
        <x:v>Электроника</x:v>
      </x:c>
      <x:c r="D914" s="2" t="str">
        <x:v>Наушники</x:v>
      </x:c>
      <x:c r="E914" s="7" t="n">
        <x:v>83018.45</x:v>
      </x:c>
      <x:c r="F914" s="9" t="n">
        <x:v>6</x:v>
      </x:c>
      <x:c r="G914" s="2" t="str">
        <x:v>Екатеринбург</x:v>
      </x:c>
      <x:c r="H914" s="7" t="n">
        <x:f>E914*F914</x:f>
        <x:v>498110.69999999995</x:v>
      </x:c>
      <x:c r="I914" s="2" t="str">
        <x:f>TEXT(B914,"yyyy-mm")</x:f>
        <x:v>2023-10</x:v>
      </x:c>
      <x:c r="J914" s="8" t="n">
        <x:f>COUNTIFS($H$2:$H$1201,"&gt;"&amp;H914)+COUNTIFS($H$2:H914,H914)</x:f>
        <x:v>411</x:v>
      </x:c>
      <x:c r="K914" s="1"/>
      <x:c r="L914" s="1"/>
    </x:row>
    <x:row r="915" ht="22" customHeight="1">
      <x:c r="A915" s="8" t="n">
        <x:v>338</x:v>
      </x:c>
      <x:c r="B915" s="6" t="n">
        <x:v>45213</x:v>
      </x:c>
      <x:c r="C915" s="2" t="str">
        <x:v>Продукты</x:v>
      </x:c>
      <x:c r="D915" s="2" t="str">
        <x:v>Шоколад</x:v>
      </x:c>
      <x:c r="E915" s="7" t="n">
        <x:v>53936.51</x:v>
      </x:c>
      <x:c r="F915" s="9" t="n">
        <x:v>4</x:v>
      </x:c>
      <x:c r="G915" s="2" t="str">
        <x:v>Новосибирск</x:v>
      </x:c>
      <x:c r="H915" s="7" t="n">
        <x:f>E915*F915</x:f>
        <x:v>215746.04</x:v>
      </x:c>
      <x:c r="I915" s="2" t="str">
        <x:f>TEXT(B915,"yyyy-mm")</x:f>
        <x:v>2023-10</x:v>
      </x:c>
      <x:c r="J915" s="8" t="n">
        <x:f>COUNTIFS($H$2:$H$1201,"&gt;"&amp;H915)+COUNTIFS($H$2:H915,H915)</x:f>
        <x:v>765</x:v>
      </x:c>
      <x:c r="K915" s="1"/>
      <x:c r="L915" s="1"/>
    </x:row>
    <x:row r="916" ht="22" customHeight="1">
      <x:c r="A916" s="8" t="n">
        <x:v>356</x:v>
      </x:c>
      <x:c r="B916" s="6" t="n">
        <x:v>45213</x:v>
      </x:c>
      <x:c r="C916" s="2" t="str">
        <x:v>Продукты</x:v>
      </x:c>
      <x:c r="D916" s="2" t="str">
        <x:v>Молоко</x:v>
      </x:c>
      <x:c r="E916" s="7" t="n">
        <x:v>92164.96</x:v>
      </x:c>
      <x:c r="F916" s="9" t="n">
        <x:v>3</x:v>
      </x:c>
      <x:c r="G916" s="2" t="str">
        <x:v>Новосибирск</x:v>
      </x:c>
      <x:c r="H916" s="7" t="n">
        <x:f>E916*F916</x:f>
        <x:v>276494.88</x:v>
      </x:c>
      <x:c r="I916" s="2" t="str">
        <x:f>TEXT(B916,"yyyy-mm")</x:f>
        <x:v>2023-10</x:v>
      </x:c>
      <x:c r="J916" s="8" t="n">
        <x:f>COUNTIFS($H$2:$H$1201,"&gt;"&amp;H916)+COUNTIFS($H$2:H916,H916)</x:f>
        <x:v>660</x:v>
      </x:c>
      <x:c r="K916" s="1"/>
      <x:c r="L916" s="1"/>
    </x:row>
    <x:row r="917" ht="22" customHeight="1">
      <x:c r="A917" s="8" t="n">
        <x:v>462</x:v>
      </x:c>
      <x:c r="B917" s="6" t="n">
        <x:v>45213</x:v>
      </x:c>
      <x:c r="C917" s="2" t="str">
        <x:v>Товары для дома</x:v>
      </x:c>
      <x:c r="D917" s="2" t="str">
        <x:v>Полотенце</x:v>
      </x:c>
      <x:c r="E917" s="7" t="n">
        <x:v>42700.96</x:v>
      </x:c>
      <x:c r="F917" s="9" t="n">
        <x:v>5</x:v>
      </x:c>
      <x:c r="G917" s="2" t="str">
        <x:v>Санкт‑Петербург</x:v>
      </x:c>
      <x:c r="H917" s="7" t="n">
        <x:f>E917*F917</x:f>
        <x:v>213504.8</x:v>
      </x:c>
      <x:c r="I917" s="2" t="str">
        <x:f>TEXT(B917,"yyyy-mm")</x:f>
        <x:v>2023-10</x:v>
      </x:c>
      <x:c r="J917" s="8" t="n">
        <x:f>COUNTIFS($H$2:$H$1201,"&gt;"&amp;H917)+COUNTIFS($H$2:H917,H917)</x:f>
        <x:v>770</x:v>
      </x:c>
      <x:c r="K917" s="1"/>
      <x:c r="L917" s="1"/>
    </x:row>
    <x:row r="918" ht="22" customHeight="1">
      <x:c r="A918" s="8" t="n">
        <x:v>494</x:v>
      </x:c>
      <x:c r="B918" s="6" t="n">
        <x:v>45213</x:v>
      </x:c>
      <x:c r="C918" s="2" t="str">
        <x:v>Одежда</x:v>
      </x:c>
      <x:c r="D918" s="2" t="str">
        <x:v>Кроссовки</x:v>
      </x:c>
      <x:c r="E918" s="7" t="n">
        <x:v>80190.1</x:v>
      </x:c>
      <x:c r="F918" s="9" t="n">
        <x:v>1</x:v>
      </x:c>
      <x:c r="G918" s="2" t="str">
        <x:v>Новосибирск</x:v>
      </x:c>
      <x:c r="H918" s="7" t="n">
        <x:f>E918*F918</x:f>
        <x:v>80190.1</x:v>
      </x:c>
      <x:c r="I918" s="2" t="str">
        <x:f>TEXT(B918,"yyyy-mm")</x:f>
        <x:v>2023-10</x:v>
      </x:c>
      <x:c r="J918" s="8" t="n">
        <x:f>COUNTIFS($H$2:$H$1201,"&gt;"&amp;H918)+COUNTIFS($H$2:H918,H918)</x:f>
        <x:v>1015</x:v>
      </x:c>
      <x:c r="K918" s="1"/>
      <x:c r="L918" s="1"/>
    </x:row>
    <x:row r="919" ht="22" customHeight="1">
      <x:c r="A919" s="8" t="n">
        <x:v>507</x:v>
      </x:c>
      <x:c r="B919" s="6" t="n">
        <x:v>45213</x:v>
      </x:c>
      <x:c r="C919" s="2" t="str">
        <x:v>Одежда</x:v>
      </x:c>
      <x:c r="D919" s="2" t="str">
        <x:v>Футболка</x:v>
      </x:c>
      <x:c r="E919" s="7" t="n">
        <x:v>99314.11</x:v>
      </x:c>
      <x:c r="F919" s="9" t="n">
        <x:v>1</x:v>
      </x:c>
      <x:c r="G919" s="2" t="str">
        <x:v>Екатеринбург</x:v>
      </x:c>
      <x:c r="H919" s="7" t="n">
        <x:f>E919*F919</x:f>
        <x:v>99314.11</x:v>
      </x:c>
      <x:c r="I919" s="2" t="str">
        <x:f>TEXT(B919,"yyyy-mm")</x:f>
        <x:v>2023-10</x:v>
      </x:c>
      <x:c r="J919" s="8" t="n">
        <x:f>COUNTIFS($H$2:$H$1201,"&gt;"&amp;H919)+COUNTIFS($H$2:H919,H919)</x:f>
        <x:v>971</x:v>
      </x:c>
      <x:c r="K919" s="1"/>
      <x:c r="L919" s="1"/>
    </x:row>
    <x:row r="920" ht="22" customHeight="1">
      <x:c r="A920" s="8" t="n">
        <x:v>736</x:v>
      </x:c>
      <x:c r="B920" s="6" t="n">
        <x:v>45213</x:v>
      </x:c>
      <x:c r="C920" s="2" t="str">
        <x:v>Одежда</x:v>
      </x:c>
      <x:c r="D920" s="2" t="str">
        <x:v>Джинсы</x:v>
      </x:c>
      <x:c r="E920" s="7" t="n">
        <x:v>32209.75</x:v>
      </x:c>
      <x:c r="F920" s="9" t="n">
        <x:v>6</x:v>
      </x:c>
      <x:c r="G920" s="2" t="str">
        <x:v>Московская область</x:v>
      </x:c>
      <x:c r="H920" s="7" t="n">
        <x:f>E920*F920</x:f>
        <x:v>193258.5</x:v>
      </x:c>
      <x:c r="I920" s="2" t="str">
        <x:f>TEXT(B920,"yyyy-mm")</x:f>
        <x:v>2023-10</x:v>
      </x:c>
      <x:c r="J920" s="8" t="n">
        <x:f>COUNTIFS($H$2:$H$1201,"&gt;"&amp;H920)+COUNTIFS($H$2:H920,H920)</x:f>
        <x:v>797</x:v>
      </x:c>
      <x:c r="K920" s="1"/>
      <x:c r="L920" s="1"/>
    </x:row>
    <x:row r="921" ht="22" customHeight="1">
      <x:c r="A921" s="8" t="n">
        <x:v>251</x:v>
      </x:c>
      <x:c r="B921" s="6" t="n">
        <x:v>45214</x:v>
      </x:c>
      <x:c r="C921" s="2" t="str">
        <x:v>Товары для дома</x:v>
      </x:c>
      <x:c r="D921" s="2" t="str">
        <x:v>Подушка</x:v>
      </x:c>
      <x:c r="E921" s="7" t="n">
        <x:v>100685.27</x:v>
      </x:c>
      <x:c r="F921" s="9" t="n">
        <x:v>3</x:v>
      </x:c>
      <x:c r="G921" s="2" t="str">
        <x:v>Санкт‑Петербург</x:v>
      </x:c>
      <x:c r="H921" s="7" t="n">
        <x:f>E921*F921</x:f>
        <x:v>302055.81</x:v>
      </x:c>
      <x:c r="I921" s="2" t="str">
        <x:f>TEXT(B921,"yyyy-mm")</x:f>
        <x:v>2023-10</x:v>
      </x:c>
      <x:c r="J921" s="8" t="n">
        <x:f>COUNTIFS($H$2:$H$1201,"&gt;"&amp;H921)+COUNTIFS($H$2:H921,H921)</x:f>
        <x:v>630</x:v>
      </x:c>
      <x:c r="K921" s="1"/>
      <x:c r="L921" s="1"/>
    </x:row>
    <x:row r="922" ht="22" customHeight="1">
      <x:c r="A922" s="8" t="n">
        <x:v>600</x:v>
      </x:c>
      <x:c r="B922" s="6" t="n">
        <x:v>45214</x:v>
      </x:c>
      <x:c r="C922" s="2" t="str">
        <x:v>Электроника</x:v>
      </x:c>
      <x:c r="D922" s="2" t="str">
        <x:v>Смартфон</x:v>
      </x:c>
      <x:c r="E922" s="7" t="n">
        <x:v>52374.62</x:v>
      </x:c>
      <x:c r="F922" s="9" t="n">
        <x:v>9</x:v>
      </x:c>
      <x:c r="G922" s="2" t="str">
        <x:v>Московская область</x:v>
      </x:c>
      <x:c r="H922" s="7" t="n">
        <x:f>E922*F922</x:f>
        <x:v>471371.58</x:v>
      </x:c>
      <x:c r="I922" s="2" t="str">
        <x:f>TEXT(B922,"yyyy-mm")</x:f>
        <x:v>2023-10</x:v>
      </x:c>
      <x:c r="J922" s="8" t="n">
        <x:f>COUNTIFS($H$2:$H$1201,"&gt;"&amp;H922)+COUNTIFS($H$2:H922,H922)</x:f>
        <x:v>434</x:v>
      </x:c>
      <x:c r="K922" s="1"/>
      <x:c r="L922" s="1"/>
    </x:row>
    <x:row r="923" ht="22" customHeight="1">
      <x:c r="A923" s="8" t="n">
        <x:v>676</x:v>
      </x:c>
      <x:c r="B923" s="6" t="n">
        <x:v>45214</x:v>
      </x:c>
      <x:c r="C923" s="2" t="str">
        <x:v>Одежда</x:v>
      </x:c>
      <x:c r="D923" s="2" t="str">
        <x:v>Кроссовки</x:v>
      </x:c>
      <x:c r="E923" s="7" t="n">
        <x:v>112316.29</x:v>
      </x:c>
      <x:c r="F923" s="9" t="n">
        <x:v>2</x:v>
      </x:c>
      <x:c r="G923" s="2" t="str">
        <x:v>Московская область</x:v>
      </x:c>
      <x:c r="H923" s="7" t="n">
        <x:f>E923*F923</x:f>
        <x:v>224632.58</x:v>
      </x:c>
      <x:c r="I923" s="2" t="str">
        <x:f>TEXT(B923,"yyyy-mm")</x:f>
        <x:v>2023-10</x:v>
      </x:c>
      <x:c r="J923" s="8" t="n">
        <x:f>COUNTIFS($H$2:$H$1201,"&gt;"&amp;H923)+COUNTIFS($H$2:H923,H923)</x:f>
        <x:v>744</x:v>
      </x:c>
      <x:c r="K923" s="1"/>
      <x:c r="L923" s="1"/>
    </x:row>
    <x:row r="924" ht="22" customHeight="1">
      <x:c r="A924" s="8" t="n">
        <x:v>843</x:v>
      </x:c>
      <x:c r="B924" s="6" t="n">
        <x:v>45214</x:v>
      </x:c>
      <x:c r="C924" s="2" t="str">
        <x:v>Одежда</x:v>
      </x:c>
      <x:c r="D924" s="2" t="str">
        <x:v>Куртка</x:v>
      </x:c>
      <x:c r="E924" s="7" t="n">
        <x:v>30729.38</x:v>
      </x:c>
      <x:c r="F924" s="9" t="n">
        <x:v>7</x:v>
      </x:c>
      <x:c r="G924" s="2" t="str">
        <x:v>Новосибирск</x:v>
      </x:c>
      <x:c r="H924" s="7" t="n">
        <x:f>E924*F924</x:f>
        <x:v>215105.66</x:v>
      </x:c>
      <x:c r="I924" s="2" t="str">
        <x:f>TEXT(B924,"yyyy-mm")</x:f>
        <x:v>2023-10</x:v>
      </x:c>
      <x:c r="J924" s="8" t="n">
        <x:f>COUNTIFS($H$2:$H$1201,"&gt;"&amp;H924)+COUNTIFS($H$2:H924,H924)</x:f>
        <x:v>767</x:v>
      </x:c>
      <x:c r="K924" s="1"/>
      <x:c r="L924" s="1"/>
    </x:row>
    <x:row r="925" ht="22" customHeight="1">
      <x:c r="A925" s="8" t="n">
        <x:v>895</x:v>
      </x:c>
      <x:c r="B925" s="6" t="n">
        <x:v>45214</x:v>
      </x:c>
      <x:c r="C925" s="2" t="str">
        <x:v>Электроника</x:v>
      </x:c>
      <x:c r="D925" s="2" t="str">
        <x:v>Наушники</x:v>
      </x:c>
      <x:c r="E925" s="7" t="n">
        <x:v>46159.86</x:v>
      </x:c>
      <x:c r="F925" s="9" t="n">
        <x:v>8</x:v>
      </x:c>
      <x:c r="G925" s="2" t="str">
        <x:v>Санкт‑Петербург</x:v>
      </x:c>
      <x:c r="H925" s="7" t="n">
        <x:f>E925*F925</x:f>
        <x:v>369278.88</x:v>
      </x:c>
      <x:c r="I925" s="2" t="str">
        <x:f>TEXT(B925,"yyyy-mm")</x:f>
        <x:v>2023-10</x:v>
      </x:c>
      <x:c r="J925" s="8" t="n">
        <x:f>COUNTIFS($H$2:$H$1201,"&gt;"&amp;H925)+COUNTIFS($H$2:H925,H925)</x:f>
        <x:v>560</x:v>
      </x:c>
      <x:c r="K925" s="1"/>
      <x:c r="L925" s="1"/>
    </x:row>
    <x:row r="926" ht="22" customHeight="1">
      <x:c r="A926" s="8" t="n">
        <x:v>465</x:v>
      </x:c>
      <x:c r="B926" s="6" t="n">
        <x:v>45215</x:v>
      </x:c>
      <x:c r="C926" s="2" t="str">
        <x:v>Продукты</x:v>
      </x:c>
      <x:c r="D926" s="2" t="str">
        <x:v>Хлеб</x:v>
      </x:c>
      <x:c r="E926" s="7" t="n">
        <x:v>130392.71</x:v>
      </x:c>
      <x:c r="F926" s="9" t="n">
        <x:v>5</x:v>
      </x:c>
      <x:c r="G926" s="2" t="str">
        <x:v>Казань</x:v>
      </x:c>
      <x:c r="H926" s="7" t="n">
        <x:f>E926*F926</x:f>
        <x:v>651963.55</x:v>
      </x:c>
      <x:c r="I926" s="2" t="str">
        <x:f>TEXT(B926,"yyyy-mm")</x:f>
        <x:v>2023-10</x:v>
      </x:c>
      <x:c r="J926" s="8" t="n">
        <x:f>COUNTIFS($H$2:$H$1201,"&gt;"&amp;H926)+COUNTIFS($H$2:H926,H926)</x:f>
        <x:v>295</x:v>
      </x:c>
      <x:c r="K926" s="1"/>
      <x:c r="L926" s="1"/>
    </x:row>
    <x:row r="927" ht="22" customHeight="1">
      <x:c r="A927" s="8" t="n">
        <x:v>516</x:v>
      </x:c>
      <x:c r="B927" s="6" t="n">
        <x:v>45215</x:v>
      </x:c>
      <x:c r="C927" s="2" t="str">
        <x:v>Продукты</x:v>
      </x:c>
      <x:c r="D927" s="2" t="str">
        <x:v>Молоко</x:v>
      </x:c>
      <x:c r="E927" s="7" t="n">
        <x:v>50526.05</x:v>
      </x:c>
      <x:c r="F927" s="9" t="n">
        <x:v>4</x:v>
      </x:c>
      <x:c r="G927" s="2" t="str">
        <x:v>Новосибирск</x:v>
      </x:c>
      <x:c r="H927" s="7" t="n">
        <x:f>E927*F927</x:f>
        <x:v>202104.2</x:v>
      </x:c>
      <x:c r="I927" s="2" t="str">
        <x:f>TEXT(B927,"yyyy-mm")</x:f>
        <x:v>2023-10</x:v>
      </x:c>
      <x:c r="J927" s="8" t="n">
        <x:f>COUNTIFS($H$2:$H$1201,"&gt;"&amp;H927)+COUNTIFS($H$2:H927,H927)</x:f>
        <x:v>785</x:v>
      </x:c>
      <x:c r="K927" s="1"/>
      <x:c r="L927" s="1"/>
    </x:row>
    <x:row r="928" ht="22" customHeight="1">
      <x:c r="A928" s="8" t="n">
        <x:v>579</x:v>
      </x:c>
      <x:c r="B928" s="6" t="n">
        <x:v>45215</x:v>
      </x:c>
      <x:c r="C928" s="2" t="str">
        <x:v>Товары для дома</x:v>
      </x:c>
      <x:c r="D928" s="2" t="str">
        <x:v>Полотенце</x:v>
      </x:c>
      <x:c r="E928" s="7" t="n">
        <x:v>81001.28</x:v>
      </x:c>
      <x:c r="F928" s="9" t="n">
        <x:v>3</x:v>
      </x:c>
      <x:c r="G928" s="2" t="str">
        <x:v>Новосибирск</x:v>
      </x:c>
      <x:c r="H928" s="7" t="n">
        <x:f>E928*F928</x:f>
        <x:v>243003.84</x:v>
      </x:c>
      <x:c r="I928" s="2" t="str">
        <x:f>TEXT(B928,"yyyy-mm")</x:f>
        <x:v>2023-10</x:v>
      </x:c>
      <x:c r="J928" s="8" t="n">
        <x:f>COUNTIFS($H$2:$H$1201,"&gt;"&amp;H928)+COUNTIFS($H$2:H928,H928)</x:f>
        <x:v>716</x:v>
      </x:c>
      <x:c r="K928" s="1"/>
      <x:c r="L928" s="1"/>
    </x:row>
    <x:row r="929" ht="22" customHeight="1">
      <x:c r="A929" s="8" t="n">
        <x:v>809</x:v>
      </x:c>
      <x:c r="B929" s="6" t="n">
        <x:v>45215</x:v>
      </x:c>
      <x:c r="C929" s="2" t="str">
        <x:v>Товары для дома</x:v>
      </x:c>
      <x:c r="D929" s="2" t="str">
        <x:v>Кружка</x:v>
      </x:c>
      <x:c r="E929" s="7" t="n">
        <x:v>50194.77</x:v>
      </x:c>
      <x:c r="F929" s="9" t="n">
        <x:v>4</x:v>
      </x:c>
      <x:c r="G929" s="2" t="str">
        <x:v>Москва</x:v>
      </x:c>
      <x:c r="H929" s="7" t="n">
        <x:f>E929*F929</x:f>
        <x:v>200779.08</x:v>
      </x:c>
      <x:c r="I929" s="2" t="str">
        <x:f>TEXT(B929,"yyyy-mm")</x:f>
        <x:v>2023-10</x:v>
      </x:c>
      <x:c r="J929" s="8" t="n">
        <x:f>COUNTIFS($H$2:$H$1201,"&gt;"&amp;H929)+COUNTIFS($H$2:H929,H929)</x:f>
        <x:v>786</x:v>
      </x:c>
      <x:c r="K929" s="1"/>
      <x:c r="L929" s="1"/>
    </x:row>
    <x:row r="930" ht="22" customHeight="1">
      <x:c r="A930" s="8" t="n">
        <x:v>160</x:v>
      </x:c>
      <x:c r="B930" s="6" t="n">
        <x:v>45216</x:v>
      </x:c>
      <x:c r="C930" s="2" t="str">
        <x:v>Продукты</x:v>
      </x:c>
      <x:c r="D930" s="2" t="str">
        <x:v>Хлеб</x:v>
      </x:c>
      <x:c r="E930" s="7" t="n">
        <x:v>65956.77</x:v>
      </x:c>
      <x:c r="F930" s="9" t="n">
        <x:v>3</x:v>
      </x:c>
      <x:c r="G930" s="2" t="str">
        <x:v>Новосибирск</x:v>
      </x:c>
      <x:c r="H930" s="7" t="n">
        <x:f>E930*F930</x:f>
        <x:v>197870.31</x:v>
      </x:c>
      <x:c r="I930" s="2" t="str">
        <x:f>TEXT(B930,"yyyy-mm")</x:f>
        <x:v>2023-10</x:v>
      </x:c>
      <x:c r="J930" s="8" t="n">
        <x:f>COUNTIFS($H$2:$H$1201,"&gt;"&amp;H930)+COUNTIFS($H$2:H930,H930)</x:f>
        <x:v>788</x:v>
      </x:c>
      <x:c r="K930" s="1"/>
      <x:c r="L930" s="1"/>
    </x:row>
    <x:row r="931" ht="22" customHeight="1">
      <x:c r="A931" s="8" t="n">
        <x:v>233</x:v>
      </x:c>
      <x:c r="B931" s="6" t="n">
        <x:v>45216</x:v>
      </x:c>
      <x:c r="C931" s="2" t="str">
        <x:v>Электроника</x:v>
      </x:c>
      <x:c r="D931" s="2" t="str">
        <x:v>Планшет</x:v>
      </x:c>
      <x:c r="E931" s="7" t="n">
        <x:v>79150.3</x:v>
      </x:c>
      <x:c r="F931" s="9" t="n">
        <x:v>10</x:v>
      </x:c>
      <x:c r="G931" s="2" t="str">
        <x:v>Санкт‑Петербург</x:v>
      </x:c>
      <x:c r="H931" s="7" t="n">
        <x:f>E931*F931</x:f>
        <x:v>791503</x:v>
      </x:c>
      <x:c r="I931" s="2" t="str">
        <x:f>TEXT(B931,"yyyy-mm")</x:f>
        <x:v>2023-10</x:v>
      </x:c>
      <x:c r="J931" s="8" t="n">
        <x:f>COUNTIFS($H$2:$H$1201,"&gt;"&amp;H931)+COUNTIFS($H$2:H931,H931)</x:f>
        <x:v>200</x:v>
      </x:c>
      <x:c r="K931" s="1"/>
      <x:c r="L931" s="1"/>
    </x:row>
    <x:row r="932" ht="22" customHeight="1">
      <x:c r="A932" s="8" t="n">
        <x:v>1020</x:v>
      </x:c>
      <x:c r="B932" s="6" t="n">
        <x:v>45216</x:v>
      </x:c>
      <x:c r="C932" s="2" t="str">
        <x:v>Электроника</x:v>
      </x:c>
      <x:c r="D932" s="2" t="str">
        <x:v>Смартфон</x:v>
      </x:c>
      <x:c r="E932" s="7" t="n">
        <x:v>80089.46</x:v>
      </x:c>
      <x:c r="F932" s="9" t="n">
        <x:v>4</x:v>
      </x:c>
      <x:c r="G932" s="2" t="str">
        <x:v>Московская область</x:v>
      </x:c>
      <x:c r="H932" s="7" t="n">
        <x:f>E932*F932</x:f>
        <x:v>320357.84</x:v>
      </x:c>
      <x:c r="I932" s="2" t="str">
        <x:f>TEXT(B932,"yyyy-mm")</x:f>
        <x:v>2023-10</x:v>
      </x:c>
      <x:c r="J932" s="8" t="n">
        <x:f>COUNTIFS($H$2:$H$1201,"&gt;"&amp;H932)+COUNTIFS($H$2:H932,H932)</x:f>
        <x:v>614</x:v>
      </x:c>
      <x:c r="K932" s="1"/>
      <x:c r="L932" s="1"/>
    </x:row>
    <x:row r="933" ht="22" customHeight="1">
      <x:c r="A933" s="8" t="n">
        <x:v>51</x:v>
      </x:c>
      <x:c r="B933" s="6" t="n">
        <x:v>45217</x:v>
      </x:c>
      <x:c r="C933" s="2" t="str">
        <x:v>Товары для дома</x:v>
      </x:c>
      <x:c r="D933" s="2" t="str">
        <x:v>Подушка</x:v>
      </x:c>
      <x:c r="E933" s="7" t="n">
        <x:v>49422.99</x:v>
      </x:c>
      <x:c r="F933" s="9" t="n">
        <x:v>8</x:v>
      </x:c>
      <x:c r="G933" s="2" t="str">
        <x:v>Новосибирск</x:v>
      </x:c>
      <x:c r="H933" s="7" t="n">
        <x:f>E933*F933</x:f>
        <x:v>395383.92</x:v>
      </x:c>
      <x:c r="I933" s="2" t="str">
        <x:f>TEXT(B933,"yyyy-mm")</x:f>
        <x:v>2023-10</x:v>
      </x:c>
      <x:c r="J933" s="8" t="n">
        <x:f>COUNTIFS($H$2:$H$1201,"&gt;"&amp;H933)+COUNTIFS($H$2:H933,H933)</x:f>
        <x:v>527</x:v>
      </x:c>
      <x:c r="K933" s="1"/>
      <x:c r="L933" s="1"/>
    </x:row>
    <x:row r="934" ht="22" customHeight="1">
      <x:c r="A934" s="8" t="n">
        <x:v>61</x:v>
      </x:c>
      <x:c r="B934" s="6" t="n">
        <x:v>45217</x:v>
      </x:c>
      <x:c r="C934" s="2" t="str">
        <x:v>Одежда</x:v>
      </x:c>
      <x:c r="D934" s="2" t="str">
        <x:v>Куртка</x:v>
      </x:c>
      <x:c r="E934" s="7" t="n">
        <x:v>119969.69</x:v>
      </x:c>
      <x:c r="F934" s="9" t="n">
        <x:v>8</x:v>
      </x:c>
      <x:c r="G934" s="2" t="str">
        <x:v>Казань</x:v>
      </x:c>
      <x:c r="H934" s="7" t="n">
        <x:f>E934*F934</x:f>
        <x:v>959757.52</x:v>
      </x:c>
      <x:c r="I934" s="2" t="str">
        <x:f>TEXT(B934,"yyyy-mm")</x:f>
        <x:v>2023-10</x:v>
      </x:c>
      <x:c r="J934" s="8" t="n">
        <x:f>COUNTIFS($H$2:$H$1201,"&gt;"&amp;H934)+COUNTIFS($H$2:H934,H934)</x:f>
        <x:v>104</x:v>
      </x:c>
      <x:c r="K934" s="1"/>
      <x:c r="L934" s="1"/>
    </x:row>
    <x:row r="935" ht="22" customHeight="1">
      <x:c r="A935" s="8" t="n">
        <x:v>846</x:v>
      </x:c>
      <x:c r="B935" s="6" t="n">
        <x:v>45217</x:v>
      </x:c>
      <x:c r="C935" s="2" t="str">
        <x:v>Продукты</x:v>
      </x:c>
      <x:c r="D935" s="2" t="str">
        <x:v>Молоко</x:v>
      </x:c>
      <x:c r="E935" s="7" t="n">
        <x:v>107644.84</x:v>
      </x:c>
      <x:c r="F935" s="9" t="n">
        <x:v>5</x:v>
      </x:c>
      <x:c r="G935" s="2" t="str">
        <x:v>Новосибирск</x:v>
      </x:c>
      <x:c r="H935" s="7" t="n">
        <x:f>E935*F935</x:f>
        <x:v>538224.2</x:v>
      </x:c>
      <x:c r="I935" s="2" t="str">
        <x:f>TEXT(B935,"yyyy-mm")</x:f>
        <x:v>2023-10</x:v>
      </x:c>
      <x:c r="J935" s="8" t="n">
        <x:f>COUNTIFS($H$2:$H$1201,"&gt;"&amp;H935)+COUNTIFS($H$2:H935,H935)</x:f>
        <x:v>379</x:v>
      </x:c>
      <x:c r="K935" s="1"/>
      <x:c r="L935" s="1"/>
    </x:row>
    <x:row r="936" ht="22" customHeight="1">
      <x:c r="A936" s="8" t="n">
        <x:v>1161</x:v>
      </x:c>
      <x:c r="B936" s="6" t="n">
        <x:v>45217</x:v>
      </x:c>
      <x:c r="C936" s="2" t="str">
        <x:v>Электроника</x:v>
      </x:c>
      <x:c r="D936" s="2" t="str">
        <x:v>Смартфон</x:v>
      </x:c>
      <x:c r="E936" s="7" t="n">
        <x:v>99342.18</x:v>
      </x:c>
      <x:c r="F936" s="9" t="n">
        <x:v>7</x:v>
      </x:c>
      <x:c r="G936" s="2" t="str">
        <x:v>Новосибирск</x:v>
      </x:c>
      <x:c r="H936" s="7" t="n">
        <x:f>E936*F936</x:f>
        <x:v>695395.26</x:v>
      </x:c>
      <x:c r="I936" s="2" t="str">
        <x:f>TEXT(B936,"yyyy-mm")</x:f>
        <x:v>2023-10</x:v>
      </x:c>
      <x:c r="J936" s="8" t="n">
        <x:f>COUNTIFS($H$2:$H$1201,"&gt;"&amp;H936)+COUNTIFS($H$2:H936,H936)</x:f>
        <x:v>264</x:v>
      </x:c>
      <x:c r="K936" s="1"/>
      <x:c r="L936" s="1"/>
    </x:row>
    <x:row r="937" ht="22" customHeight="1">
      <x:c r="A937" s="8" t="n">
        <x:v>713</x:v>
      </x:c>
      <x:c r="B937" s="6" t="n">
        <x:v>45218</x:v>
      </x:c>
      <x:c r="C937" s="2" t="str">
        <x:v>Электроника</x:v>
      </x:c>
      <x:c r="D937" s="2" t="str">
        <x:v>Наушники</x:v>
      </x:c>
      <x:c r="E937" s="7" t="n">
        <x:v>39286.08</x:v>
      </x:c>
      <x:c r="F937" s="9" t="n">
        <x:v>2</x:v>
      </x:c>
      <x:c r="G937" s="2" t="str">
        <x:v>Новосибирск</x:v>
      </x:c>
      <x:c r="H937" s="7" t="n">
        <x:f>E937*F937</x:f>
        <x:v>78572.16</x:v>
      </x:c>
      <x:c r="I937" s="2" t="str">
        <x:f>TEXT(B937,"yyyy-mm")</x:f>
        <x:v>2023-10</x:v>
      </x:c>
      <x:c r="J937" s="8" t="n">
        <x:f>COUNTIFS($H$2:$H$1201,"&gt;"&amp;H937)+COUNTIFS($H$2:H937,H937)</x:f>
        <x:v>1020</x:v>
      </x:c>
      <x:c r="K937" s="1"/>
      <x:c r="L937" s="1"/>
    </x:row>
    <x:row r="938" ht="22" customHeight="1">
      <x:c r="A938" s="8" t="n">
        <x:v>717</x:v>
      </x:c>
      <x:c r="B938" s="6" t="n">
        <x:v>45218</x:v>
      </x:c>
      <x:c r="C938" s="2" t="str">
        <x:v>Товары для дома</x:v>
      </x:c>
      <x:c r="D938" s="2" t="str">
        <x:v>Полотенце</x:v>
      </x:c>
      <x:c r="E938" s="7" t="n">
        <x:v>120424.49</x:v>
      </x:c>
      <x:c r="F938" s="9" t="n">
        <x:v>10</x:v>
      </x:c>
      <x:c r="G938" s="2" t="str">
        <x:v>Казань</x:v>
      </x:c>
      <x:c r="H938" s="7" t="n">
        <x:f>E938*F938</x:f>
        <x:v>1204244.9000000001</x:v>
      </x:c>
      <x:c r="I938" s="2" t="str">
        <x:f>TEXT(B938,"yyyy-mm")</x:f>
        <x:v>2023-10</x:v>
      </x:c>
      <x:c r="J938" s="8" t="n">
        <x:f>COUNTIFS($H$2:$H$1201,"&gt;"&amp;H938)+COUNTIFS($H$2:H938,H938)</x:f>
        <x:v>30</x:v>
      </x:c>
      <x:c r="K938" s="1"/>
      <x:c r="L938" s="1"/>
    </x:row>
    <x:row r="939" ht="22" customHeight="1">
      <x:c r="A939" s="8" t="n">
        <x:v>971</x:v>
      </x:c>
      <x:c r="B939" s="6" t="n">
        <x:v>45218</x:v>
      </x:c>
      <x:c r="C939" s="2" t="str">
        <x:v>Товары для дома</x:v>
      </x:c>
      <x:c r="D939" s="2" t="str">
        <x:v>Кружка</x:v>
      </x:c>
      <x:c r="E939" s="7" t="n">
        <x:v>108379</x:v>
      </x:c>
      <x:c r="F939" s="9" t="n">
        <x:v>3</x:v>
      </x:c>
      <x:c r="G939" s="2" t="str">
        <x:v>Екатеринбург</x:v>
      </x:c>
      <x:c r="H939" s="7" t="n">
        <x:f>E939*F939</x:f>
        <x:v>325137</x:v>
      </x:c>
      <x:c r="I939" s="2" t="str">
        <x:f>TEXT(B939,"yyyy-mm")</x:f>
        <x:v>2023-10</x:v>
      </x:c>
      <x:c r="J939" s="8" t="n">
        <x:f>COUNTIFS($H$2:$H$1201,"&gt;"&amp;H939)+COUNTIFS($H$2:H939,H939)</x:f>
        <x:v>610</x:v>
      </x:c>
      <x:c r="K939" s="1"/>
      <x:c r="L939" s="1"/>
    </x:row>
    <x:row r="940" ht="22" customHeight="1">
      <x:c r="A940" s="8" t="n">
        <x:v>1025</x:v>
      </x:c>
      <x:c r="B940" s="6" t="n">
        <x:v>45218</x:v>
      </x:c>
      <x:c r="C940" s="2" t="str">
        <x:v>Одежда</x:v>
      </x:c>
      <x:c r="D940" s="2" t="str">
        <x:v>Кроссовки</x:v>
      </x:c>
      <x:c r="E940" s="7" t="n">
        <x:v>71527.52</x:v>
      </x:c>
      <x:c r="F940" s="9" t="n">
        <x:v>1</x:v>
      </x:c>
      <x:c r="G940" s="2" t="str">
        <x:v>Новосибирск</x:v>
      </x:c>
      <x:c r="H940" s="7" t="n">
        <x:f>E940*F940</x:f>
        <x:v>71527.52</x:v>
      </x:c>
      <x:c r="I940" s="2" t="str">
        <x:f>TEXT(B940,"yyyy-mm")</x:f>
        <x:v>2023-10</x:v>
      </x:c>
      <x:c r="J940" s="8" t="n">
        <x:f>COUNTIFS($H$2:$H$1201,"&gt;"&amp;H940)+COUNTIFS($H$2:H940,H940)</x:f>
        <x:v>1036</x:v>
      </x:c>
      <x:c r="K940" s="1"/>
      <x:c r="L940" s="1"/>
    </x:row>
    <x:row r="941" ht="22" customHeight="1">
      <x:c r="A941" s="8" t="n">
        <x:v>1085</x:v>
      </x:c>
      <x:c r="B941" s="6" t="n">
        <x:v>45218</x:v>
      </x:c>
      <x:c r="C941" s="2" t="str">
        <x:v>Продукты</x:v>
      </x:c>
      <x:c r="D941" s="2" t="str">
        <x:v>Шоколад</x:v>
      </x:c>
      <x:c r="E941" s="7" t="n">
        <x:v>87195.82</x:v>
      </x:c>
      <x:c r="F941" s="9" t="n">
        <x:v>10</x:v>
      </x:c>
      <x:c r="G941" s="2" t="str">
        <x:v>Казань</x:v>
      </x:c>
      <x:c r="H941" s="7" t="n">
        <x:f>E941*F941</x:f>
        <x:v>871958.2000000001</x:v>
      </x:c>
      <x:c r="I941" s="2" t="str">
        <x:f>TEXT(B941,"yyyy-mm")</x:f>
        <x:v>2023-10</x:v>
      </x:c>
      <x:c r="J941" s="8" t="n">
        <x:f>COUNTIFS($H$2:$H$1201,"&gt;"&amp;H941)+COUNTIFS($H$2:H941,H941)</x:f>
        <x:v>150</x:v>
      </x:c>
      <x:c r="K941" s="1"/>
      <x:c r="L941" s="1"/>
    </x:row>
    <x:row r="942" ht="22" customHeight="1">
      <x:c r="A942" s="8" t="n">
        <x:v>704</x:v>
      </x:c>
      <x:c r="B942" s="6" t="n">
        <x:v>45219</x:v>
      </x:c>
      <x:c r="C942" s="2" t="str">
        <x:v>Товары для дома</x:v>
      </x:c>
      <x:c r="D942" s="2" t="str">
        <x:v>Плед</x:v>
      </x:c>
      <x:c r="E942" s="7" t="n">
        <x:v>110682.95</x:v>
      </x:c>
      <x:c r="F942" s="9" t="n">
        <x:v>10</x:v>
      </x:c>
      <x:c r="G942" s="2" t="str">
        <x:v>Москва</x:v>
      </x:c>
      <x:c r="H942" s="7" t="n">
        <x:f>E942*F942</x:f>
        <x:v>1106829.5</x:v>
      </x:c>
      <x:c r="I942" s="2" t="str">
        <x:f>TEXT(B942,"yyyy-mm")</x:f>
        <x:v>2023-10</x:v>
      </x:c>
      <x:c r="J942" s="8" t="n">
        <x:f>COUNTIFS($H$2:$H$1201,"&gt;"&amp;H942)+COUNTIFS($H$2:H942,H942)</x:f>
        <x:v>63</x:v>
      </x:c>
      <x:c r="K942" s="1"/>
      <x:c r="L942" s="1"/>
    </x:row>
    <x:row r="943" ht="22" customHeight="1">
      <x:c r="A943" s="8" t="n">
        <x:v>803</x:v>
      </x:c>
      <x:c r="B943" s="6" t="n">
        <x:v>45219</x:v>
      </x:c>
      <x:c r="C943" s="2" t="str">
        <x:v>Продукты</x:v>
      </x:c>
      <x:c r="D943" s="2" t="str">
        <x:v>Шоколад</x:v>
      </x:c>
      <x:c r="E943" s="7" t="n">
        <x:v>114016.44</x:v>
      </x:c>
      <x:c r="F943" s="9" t="n">
        <x:v>9</x:v>
      </x:c>
      <x:c r="G943" s="2" t="str">
        <x:v>Казань</x:v>
      </x:c>
      <x:c r="H943" s="7" t="n">
        <x:f>E943*F943</x:f>
        <x:v>1026147.96</x:v>
      </x:c>
      <x:c r="I943" s="2" t="str">
        <x:f>TEXT(B943,"yyyy-mm")</x:f>
        <x:v>2023-10</x:v>
      </x:c>
      <x:c r="J943" s="8" t="n">
        <x:f>COUNTIFS($H$2:$H$1201,"&gt;"&amp;H943)+COUNTIFS($H$2:H943,H943)</x:f>
        <x:v>80</x:v>
      </x:c>
      <x:c r="K943" s="1"/>
      <x:c r="L943" s="1"/>
    </x:row>
    <x:row r="944" ht="22" customHeight="1">
      <x:c r="A944" s="8" t="n">
        <x:v>229</x:v>
      </x:c>
      <x:c r="B944" s="6" t="n">
        <x:v>45220</x:v>
      </x:c>
      <x:c r="C944" s="2" t="str">
        <x:v>Товары для дома</x:v>
      </x:c>
      <x:c r="D944" s="2" t="str">
        <x:v>Полотенце</x:v>
      </x:c>
      <x:c r="E944" s="7" t="n">
        <x:v>129868.52</x:v>
      </x:c>
      <x:c r="F944" s="9" t="n">
        <x:v>3</x:v>
      </x:c>
      <x:c r="G944" s="2" t="str">
        <x:v>Казань</x:v>
      </x:c>
      <x:c r="H944" s="7" t="n">
        <x:f>E944*F944</x:f>
        <x:v>389605.56</x:v>
      </x:c>
      <x:c r="I944" s="2" t="str">
        <x:f>TEXT(B944,"yyyy-mm")</x:f>
        <x:v>2023-10</x:v>
      </x:c>
      <x:c r="J944" s="8" t="n">
        <x:f>COUNTIFS($H$2:$H$1201,"&gt;"&amp;H944)+COUNTIFS($H$2:H944,H944)</x:f>
        <x:v>536</x:v>
      </x:c>
      <x:c r="K944" s="1"/>
      <x:c r="L944" s="1"/>
    </x:row>
    <x:row r="945" ht="22" customHeight="1">
      <x:c r="A945" s="8" t="n">
        <x:v>368</x:v>
      </x:c>
      <x:c r="B945" s="6" t="n">
        <x:v>45220</x:v>
      </x:c>
      <x:c r="C945" s="2" t="str">
        <x:v>Одежда</x:v>
      </x:c>
      <x:c r="D945" s="2" t="str">
        <x:v>Джинсы</x:v>
      </x:c>
      <x:c r="E945" s="7" t="n">
        <x:v>115377.17</x:v>
      </x:c>
      <x:c r="F945" s="9" t="n">
        <x:v>6</x:v>
      </x:c>
      <x:c r="G945" s="2" t="str">
        <x:v>Московская область</x:v>
      </x:c>
      <x:c r="H945" s="7" t="n">
        <x:f>E945*F945</x:f>
        <x:v>692263.02</x:v>
      </x:c>
      <x:c r="I945" s="2" t="str">
        <x:f>TEXT(B945,"yyyy-mm")</x:f>
        <x:v>2023-10</x:v>
      </x:c>
      <x:c r="J945" s="8" t="n">
        <x:f>COUNTIFS($H$2:$H$1201,"&gt;"&amp;H945)+COUNTIFS($H$2:H945,H945)</x:f>
        <x:v>269</x:v>
      </x:c>
      <x:c r="K945" s="1"/>
      <x:c r="L945" s="1"/>
    </x:row>
    <x:row r="946" ht="22" customHeight="1">
      <x:c r="A946" s="8" t="n">
        <x:v>74</x:v>
      </x:c>
      <x:c r="B946" s="6" t="n">
        <x:v>45221</x:v>
      </x:c>
      <x:c r="C946" s="2" t="str">
        <x:v>Электроника</x:v>
      </x:c>
      <x:c r="D946" s="2" t="str">
        <x:v>Смартфон</x:v>
      </x:c>
      <x:c r="E946" s="7" t="n">
        <x:v>131969.39</x:v>
      </x:c>
      <x:c r="F946" s="9" t="n">
        <x:v>10</x:v>
      </x:c>
      <x:c r="G946" s="2" t="str">
        <x:v>Санкт‑Петербург</x:v>
      </x:c>
      <x:c r="H946" s="7" t="n">
        <x:f>E946*F946</x:f>
        <x:v>1319693.9000000001</x:v>
      </x:c>
      <x:c r="I946" s="2" t="str">
        <x:f>TEXT(B946,"yyyy-mm")</x:f>
        <x:v>2023-10</x:v>
      </x:c>
      <x:c r="J946" s="8" t="n">
        <x:f>COUNTIFS($H$2:$H$1201,"&gt;"&amp;H946)+COUNTIFS($H$2:H946,H946)</x:f>
        <x:v>12</x:v>
      </x:c>
      <x:c r="K946" s="1"/>
      <x:c r="L946" s="1"/>
    </x:row>
    <x:row r="947" ht="22" customHeight="1">
      <x:c r="A947" s="8" t="n">
        <x:v>206</x:v>
      </x:c>
      <x:c r="B947" s="6" t="n">
        <x:v>45221</x:v>
      </x:c>
      <x:c r="C947" s="2" t="str">
        <x:v>Товары для дома</x:v>
      </x:c>
      <x:c r="D947" s="2" t="str">
        <x:v>Подушка</x:v>
      </x:c>
      <x:c r="E947" s="7" t="n">
        <x:v>130085.4</x:v>
      </x:c>
      <x:c r="F947" s="9" t="n">
        <x:v>8</x:v>
      </x:c>
      <x:c r="G947" s="2" t="str">
        <x:v>Московская область</x:v>
      </x:c>
      <x:c r="H947" s="7" t="n">
        <x:f>E947*F947</x:f>
        <x:v>1040683.2</x:v>
      </x:c>
      <x:c r="I947" s="2" t="str">
        <x:f>TEXT(B947,"yyyy-mm")</x:f>
        <x:v>2023-10</x:v>
      </x:c>
      <x:c r="J947" s="8" t="n">
        <x:f>COUNTIFS($H$2:$H$1201,"&gt;"&amp;H947)+COUNTIFS($H$2:H947,H947)</x:f>
        <x:v>76</x:v>
      </x:c>
      <x:c r="K947" s="1"/>
      <x:c r="L947" s="1"/>
    </x:row>
    <x:row r="948" ht="22" customHeight="1">
      <x:c r="A948" s="8" t="n">
        <x:v>373</x:v>
      </x:c>
      <x:c r="B948" s="6" t="n">
        <x:v>45221</x:v>
      </x:c>
      <x:c r="C948" s="2" t="str">
        <x:v>Продукты</x:v>
      </x:c>
      <x:c r="D948" s="2" t="str">
        <x:v>Хлеб</x:v>
      </x:c>
      <x:c r="E948" s="7" t="n">
        <x:v>24630.81</x:v>
      </x:c>
      <x:c r="F948" s="9" t="n">
        <x:v>2</x:v>
      </x:c>
      <x:c r="G948" s="2" t="str">
        <x:v>Московская область</x:v>
      </x:c>
      <x:c r="H948" s="7" t="n">
        <x:f>E948*F948</x:f>
        <x:v>49261.62</x:v>
      </x:c>
      <x:c r="I948" s="2" t="str">
        <x:f>TEXT(B948,"yyyy-mm")</x:f>
        <x:v>2023-10</x:v>
      </x:c>
      <x:c r="J948" s="8" t="n">
        <x:f>COUNTIFS($H$2:$H$1201,"&gt;"&amp;H948)+COUNTIFS($H$2:H948,H948)</x:f>
        <x:v>1088</x:v>
      </x:c>
      <x:c r="K948" s="1"/>
      <x:c r="L948" s="1"/>
    </x:row>
    <x:row r="949" ht="22" customHeight="1">
      <x:c r="A949" s="8" t="n">
        <x:v>404</x:v>
      </x:c>
      <x:c r="B949" s="6" t="n">
        <x:v>45221</x:v>
      </x:c>
      <x:c r="C949" s="2" t="str">
        <x:v>Одежда</x:v>
      </x:c>
      <x:c r="D949" s="2" t="str">
        <x:v>Кроссовки</x:v>
      </x:c>
      <x:c r="E949" s="7" t="n">
        <x:v>15661.56</x:v>
      </x:c>
      <x:c r="F949" s="9" t="n">
        <x:v>2</x:v>
      </x:c>
      <x:c r="G949" s="2" t="str">
        <x:v>Казань</x:v>
      </x:c>
      <x:c r="H949" s="7" t="n">
        <x:f>E949*F949</x:f>
        <x:v>31323.12</x:v>
      </x:c>
      <x:c r="I949" s="2" t="str">
        <x:f>TEXT(B949,"yyyy-mm")</x:f>
        <x:v>2023-10</x:v>
      </x:c>
      <x:c r="J949" s="8" t="n">
        <x:f>COUNTIFS($H$2:$H$1201,"&gt;"&amp;H949)+COUNTIFS($H$2:H949,H949)</x:f>
        <x:v>1123</x:v>
      </x:c>
      <x:c r="K949" s="1"/>
      <x:c r="L949" s="1"/>
    </x:row>
    <x:row r="950" ht="22" customHeight="1">
      <x:c r="A950" s="8" t="n">
        <x:v>497</x:v>
      </x:c>
      <x:c r="B950" s="6" t="n">
        <x:v>45221</x:v>
      </x:c>
      <x:c r="C950" s="2" t="str">
        <x:v>Продукты</x:v>
      </x:c>
      <x:c r="D950" s="2" t="str">
        <x:v>Хлеб</x:v>
      </x:c>
      <x:c r="E950" s="7" t="n">
        <x:v>28887.48</x:v>
      </x:c>
      <x:c r="F950" s="9" t="n">
        <x:v>7</x:v>
      </x:c>
      <x:c r="G950" s="2" t="str">
        <x:v>Екатеринбург</x:v>
      </x:c>
      <x:c r="H950" s="7" t="n">
        <x:f>E950*F950</x:f>
        <x:v>202212.36</x:v>
      </x:c>
      <x:c r="I950" s="2" t="str">
        <x:f>TEXT(B950,"yyyy-mm")</x:f>
        <x:v>2023-10</x:v>
      </x:c>
      <x:c r="J950" s="8" t="n">
        <x:f>COUNTIFS($H$2:$H$1201,"&gt;"&amp;H950)+COUNTIFS($H$2:H950,H950)</x:f>
        <x:v>784</x:v>
      </x:c>
      <x:c r="K950" s="1"/>
      <x:c r="L950" s="1"/>
    </x:row>
    <x:row r="951" ht="22" customHeight="1">
      <x:c r="A951" s="8" t="n">
        <x:v>574</x:v>
      </x:c>
      <x:c r="B951" s="6" t="n">
        <x:v>45221</x:v>
      </x:c>
      <x:c r="C951" s="2" t="str">
        <x:v>Товары для дома</x:v>
      </x:c>
      <x:c r="D951" s="2" t="str">
        <x:v>Плед</x:v>
      </x:c>
      <x:c r="E951" s="7" t="n">
        <x:v>73777.44</x:v>
      </x:c>
      <x:c r="F951" s="9" t="n">
        <x:v>7</x:v>
      </x:c>
      <x:c r="G951" s="2" t="str">
        <x:v>Екатеринбург</x:v>
      </x:c>
      <x:c r="H951" s="7" t="n">
        <x:f>E951*F951</x:f>
        <x:v>516442.08</x:v>
      </x:c>
      <x:c r="I951" s="2" t="str">
        <x:f>TEXT(B951,"yyyy-mm")</x:f>
        <x:v>2023-10</x:v>
      </x:c>
      <x:c r="J951" s="8" t="n">
        <x:f>COUNTIFS($H$2:$H$1201,"&gt;"&amp;H951)+COUNTIFS($H$2:H951,H951)</x:f>
        <x:v>395</x:v>
      </x:c>
      <x:c r="K951" s="1"/>
      <x:c r="L951" s="1"/>
    </x:row>
    <x:row r="952" ht="22" customHeight="1">
      <x:c r="A952" s="8" t="n">
        <x:v>178</x:v>
      </x:c>
      <x:c r="B952" s="6" t="n">
        <x:v>45222</x:v>
      </x:c>
      <x:c r="C952" s="2" t="str">
        <x:v>Продукты</x:v>
      </x:c>
      <x:c r="D952" s="2" t="str">
        <x:v>Кофе</x:v>
      </x:c>
      <x:c r="E952" s="7" t="n">
        <x:v>57256.99</x:v>
      </x:c>
      <x:c r="F952" s="9" t="n">
        <x:v>7</x:v>
      </x:c>
      <x:c r="G952" s="2" t="str">
        <x:v>Московская область</x:v>
      </x:c>
      <x:c r="H952" s="7" t="n">
        <x:f>E952*F952</x:f>
        <x:v>400798.93</x:v>
      </x:c>
      <x:c r="I952" s="2" t="str">
        <x:f>TEXT(B952,"yyyy-mm")</x:f>
        <x:v>2023-10</x:v>
      </x:c>
      <x:c r="J952" s="8" t="n">
        <x:f>COUNTIFS($H$2:$H$1201,"&gt;"&amp;H952)+COUNTIFS($H$2:H952,H952)</x:f>
        <x:v>515</x:v>
      </x:c>
      <x:c r="K952" s="1"/>
      <x:c r="L952" s="1"/>
    </x:row>
    <x:row r="953" ht="22" customHeight="1">
      <x:c r="A953" s="8" t="n">
        <x:v>555</x:v>
      </x:c>
      <x:c r="B953" s="6" t="n">
        <x:v>45222</x:v>
      </x:c>
      <x:c r="C953" s="2" t="str">
        <x:v>Одежда</x:v>
      </x:c>
      <x:c r="D953" s="2" t="str">
        <x:v>Кроссовки</x:v>
      </x:c>
      <x:c r="E953" s="7" t="n">
        <x:v>140108.15</x:v>
      </x:c>
      <x:c r="F953" s="9" t="n">
        <x:v>4</x:v>
      </x:c>
      <x:c r="G953" s="2" t="str">
        <x:v>Казань</x:v>
      </x:c>
      <x:c r="H953" s="7" t="n">
        <x:f>E953*F953</x:f>
        <x:v>560432.6</x:v>
      </x:c>
      <x:c r="I953" s="2" t="str">
        <x:f>TEXT(B953,"yyyy-mm")</x:f>
        <x:v>2023-10</x:v>
      </x:c>
      <x:c r="J953" s="8" t="n">
        <x:f>COUNTIFS($H$2:$H$1201,"&gt;"&amp;H953)+COUNTIFS($H$2:H953,H953)</x:f>
        <x:v>360</x:v>
      </x:c>
      <x:c r="K953" s="1"/>
      <x:c r="L953" s="1"/>
    </x:row>
    <x:row r="954" ht="22" customHeight="1">
      <x:c r="A954" s="8" t="n">
        <x:v>756</x:v>
      </x:c>
      <x:c r="B954" s="6" t="n">
        <x:v>45222</x:v>
      </x:c>
      <x:c r="C954" s="2" t="str">
        <x:v>Товары для дома</x:v>
      </x:c>
      <x:c r="D954" s="2" t="str">
        <x:v>Подушка</x:v>
      </x:c>
      <x:c r="E954" s="7" t="n">
        <x:v>942.11</x:v>
      </x:c>
      <x:c r="F954" s="9" t="n">
        <x:v>3</x:v>
      </x:c>
      <x:c r="G954" s="2" t="str">
        <x:v>Новосибирск</x:v>
      </x:c>
      <x:c r="H954" s="7" t="n">
        <x:f>E954*F954</x:f>
        <x:v>2826.33</x:v>
      </x:c>
      <x:c r="I954" s="2" t="str">
        <x:f>TEXT(B954,"yyyy-mm")</x:f>
        <x:v>2023-10</x:v>
      </x:c>
      <x:c r="J954" s="8" t="n">
        <x:f>COUNTIFS($H$2:$H$1201,"&gt;"&amp;H954)+COUNTIFS($H$2:H954,H954)</x:f>
        <x:v>1195</x:v>
      </x:c>
      <x:c r="K954" s="1"/>
      <x:c r="L954" s="1"/>
    </x:row>
    <x:row r="955" ht="22" customHeight="1">
      <x:c r="A955" s="8" t="n">
        <x:v>829</x:v>
      </x:c>
      <x:c r="B955" s="6" t="n">
        <x:v>45222</x:v>
      </x:c>
      <x:c r="C955" s="2" t="str">
        <x:v>Товары для дома</x:v>
      </x:c>
      <x:c r="D955" s="2" t="str">
        <x:v>Кружка</x:v>
      </x:c>
      <x:c r="E955" s="7" t="n">
        <x:v>97361.83</x:v>
      </x:c>
      <x:c r="F955" s="9" t="n">
        <x:v>5</x:v>
      </x:c>
      <x:c r="G955" s="2" t="str">
        <x:v>Московская область</x:v>
      </x:c>
      <x:c r="H955" s="7" t="n">
        <x:f>E955*F955</x:f>
        <x:v>486809.15</x:v>
      </x:c>
      <x:c r="I955" s="2" t="str">
        <x:f>TEXT(B955,"yyyy-mm")</x:f>
        <x:v>2023-10</x:v>
      </x:c>
      <x:c r="J955" s="8" t="n">
        <x:f>COUNTIFS($H$2:$H$1201,"&gt;"&amp;H955)+COUNTIFS($H$2:H955,H955)</x:f>
        <x:v>424</x:v>
      </x:c>
      <x:c r="K955" s="1"/>
      <x:c r="L955" s="1"/>
    </x:row>
    <x:row r="956" ht="22" customHeight="1">
      <x:c r="A956" s="8" t="n">
        <x:v>277</x:v>
      </x:c>
      <x:c r="B956" s="6" t="n">
        <x:v>45224</x:v>
      </x:c>
      <x:c r="C956" s="2" t="str">
        <x:v>Товары для дома</x:v>
      </x:c>
      <x:c r="D956" s="2" t="str">
        <x:v>Подушка</x:v>
      </x:c>
      <x:c r="E956" s="7" t="n">
        <x:v>96171.47</x:v>
      </x:c>
      <x:c r="F956" s="9" t="n">
        <x:v>6</x:v>
      </x:c>
      <x:c r="G956" s="2" t="str">
        <x:v>Екатеринбург</x:v>
      </x:c>
      <x:c r="H956" s="7" t="n">
        <x:f>E956*F956</x:f>
        <x:v>577028.8200000001</x:v>
      </x:c>
      <x:c r="I956" s="2" t="str">
        <x:f>TEXT(B956,"yyyy-mm")</x:f>
        <x:v>2023-10</x:v>
      </x:c>
      <x:c r="J956" s="8" t="n">
        <x:f>COUNTIFS($H$2:$H$1201,"&gt;"&amp;H956)+COUNTIFS($H$2:H956,H956)</x:f>
        <x:v>336</x:v>
      </x:c>
      <x:c r="K956" s="1"/>
      <x:c r="L956" s="1"/>
    </x:row>
    <x:row r="957" ht="22" customHeight="1">
      <x:c r="A957" s="8" t="n">
        <x:v>153</x:v>
      </x:c>
      <x:c r="B957" s="6" t="n">
        <x:v>45225</x:v>
      </x:c>
      <x:c r="C957" s="2" t="str">
        <x:v>Одежда</x:v>
      </x:c>
      <x:c r="D957" s="2" t="str">
        <x:v>Джинсы</x:v>
      </x:c>
      <x:c r="E957" s="7" t="n">
        <x:v>57028.8</x:v>
      </x:c>
      <x:c r="F957" s="9" t="n">
        <x:v>5</x:v>
      </x:c>
      <x:c r="G957" s="2" t="str">
        <x:v>Новосибирск</x:v>
      </x:c>
      <x:c r="H957" s="7" t="n">
        <x:f>E957*F957</x:f>
        <x:v>285144</x:v>
      </x:c>
      <x:c r="I957" s="2" t="str">
        <x:f>TEXT(B957,"yyyy-mm")</x:f>
        <x:v>2023-10</x:v>
      </x:c>
      <x:c r="J957" s="8" t="n">
        <x:f>COUNTIFS($H$2:$H$1201,"&gt;"&amp;H957)+COUNTIFS($H$2:H957,H957)</x:f>
        <x:v>647</x:v>
      </x:c>
      <x:c r="K957" s="1"/>
      <x:c r="L957" s="1"/>
    </x:row>
    <x:row r="958" ht="22" customHeight="1">
      <x:c r="A958" s="8" t="n">
        <x:v>121</x:v>
      </x:c>
      <x:c r="B958" s="6" t="n">
        <x:v>45226</x:v>
      </x:c>
      <x:c r="C958" s="2" t="str">
        <x:v>Продукты</x:v>
      </x:c>
      <x:c r="D958" s="2" t="str">
        <x:v>Кофе</x:v>
      </x:c>
      <x:c r="E958" s="7" t="n">
        <x:v>4170.74</x:v>
      </x:c>
      <x:c r="F958" s="9" t="n">
        <x:v>2</x:v>
      </x:c>
      <x:c r="G958" s="2" t="str">
        <x:v>Санкт‑Петербург</x:v>
      </x:c>
      <x:c r="H958" s="7" t="n">
        <x:f>E958*F958</x:f>
        <x:v>8341.48</x:v>
      </x:c>
      <x:c r="I958" s="2" t="str">
        <x:f>TEXT(B958,"yyyy-mm")</x:f>
        <x:v>2023-10</x:v>
      </x:c>
      <x:c r="J958" s="8" t="n">
        <x:f>COUNTIFS($H$2:$H$1201,"&gt;"&amp;H958)+COUNTIFS($H$2:H958,H958)</x:f>
        <x:v>1187</x:v>
      </x:c>
      <x:c r="K958" s="1"/>
      <x:c r="L958" s="1"/>
    </x:row>
    <x:row r="959" ht="22" customHeight="1">
      <x:c r="A959" s="8" t="n">
        <x:v>207</x:v>
      </x:c>
      <x:c r="B959" s="6" t="n">
        <x:v>45226</x:v>
      </x:c>
      <x:c r="C959" s="2" t="str">
        <x:v>Одежда</x:v>
      </x:c>
      <x:c r="D959" s="2" t="str">
        <x:v>Куртка</x:v>
      </x:c>
      <x:c r="E959" s="7" t="n">
        <x:v>44391.32</x:v>
      </x:c>
      <x:c r="F959" s="9" t="n">
        <x:v>2</x:v>
      </x:c>
      <x:c r="G959" s="2" t="str">
        <x:v>Московская область</x:v>
      </x:c>
      <x:c r="H959" s="7" t="n">
        <x:f>E959*F959</x:f>
        <x:v>88782.64</x:v>
      </x:c>
      <x:c r="I959" s="2" t="str">
        <x:f>TEXT(B959,"yyyy-mm")</x:f>
        <x:v>2023-10</x:v>
      </x:c>
      <x:c r="J959" s="8" t="n">
        <x:f>COUNTIFS($H$2:$H$1201,"&gt;"&amp;H959)+COUNTIFS($H$2:H959,H959)</x:f>
        <x:v>997</x:v>
      </x:c>
      <x:c r="K959" s="1"/>
      <x:c r="L959" s="1"/>
    </x:row>
    <x:row r="960" ht="22" customHeight="1">
      <x:c r="A960" s="8" t="n">
        <x:v>1107</x:v>
      </x:c>
      <x:c r="B960" s="6" t="n">
        <x:v>45226</x:v>
      </x:c>
      <x:c r="C960" s="2" t="str">
        <x:v>Одежда</x:v>
      </x:c>
      <x:c r="D960" s="2" t="str">
        <x:v>Кроссовки</x:v>
      </x:c>
      <x:c r="E960" s="7" t="n">
        <x:v>96461.63</x:v>
      </x:c>
      <x:c r="F960" s="9" t="n">
        <x:v>8</x:v>
      </x:c>
      <x:c r="G960" s="2" t="str">
        <x:v>Новосибирск</x:v>
      </x:c>
      <x:c r="H960" s="7" t="n">
        <x:f>E960*F960</x:f>
        <x:v>771693.04</x:v>
      </x:c>
      <x:c r="I960" s="2" t="str">
        <x:f>TEXT(B960,"yyyy-mm")</x:f>
        <x:v>2023-10</x:v>
      </x:c>
      <x:c r="J960" s="8" t="n">
        <x:f>COUNTIFS($H$2:$H$1201,"&gt;"&amp;H960)+COUNTIFS($H$2:H960,H960)</x:f>
        <x:v>212</x:v>
      </x:c>
      <x:c r="K960" s="1"/>
      <x:c r="L960" s="1"/>
    </x:row>
    <x:row r="961" ht="22" customHeight="1">
      <x:c r="A961" s="8" t="n">
        <x:v>1188</x:v>
      </x:c>
      <x:c r="B961" s="6" t="n">
        <x:v>45226</x:v>
      </x:c>
      <x:c r="C961" s="2" t="str">
        <x:v>Одежда</x:v>
      </x:c>
      <x:c r="D961" s="2" t="str">
        <x:v>Кроссовки</x:v>
      </x:c>
      <x:c r="E961" s="7" t="n">
        <x:v>105423.72</x:v>
      </x:c>
      <x:c r="F961" s="9" t="n">
        <x:v>6</x:v>
      </x:c>
      <x:c r="G961" s="2" t="str">
        <x:v>Москва</x:v>
      </x:c>
      <x:c r="H961" s="7" t="n">
        <x:f>E961*F961</x:f>
        <x:v>632542.3200000001</x:v>
      </x:c>
      <x:c r="I961" s="2" t="str">
        <x:f>TEXT(B961,"yyyy-mm")</x:f>
        <x:v>2023-10</x:v>
      </x:c>
      <x:c r="J961" s="8" t="n">
        <x:f>COUNTIFS($H$2:$H$1201,"&gt;"&amp;H961)+COUNTIFS($H$2:H961,H961)</x:f>
        <x:v>303</x:v>
      </x:c>
      <x:c r="K961" s="1"/>
      <x:c r="L961" s="1"/>
    </x:row>
    <x:row r="962" ht="22" customHeight="1">
      <x:c r="A962" s="8" t="n">
        <x:v>380</x:v>
      </x:c>
      <x:c r="B962" s="6" t="n">
        <x:v>45227</x:v>
      </x:c>
      <x:c r="C962" s="2" t="str">
        <x:v>Электроника</x:v>
      </x:c>
      <x:c r="D962" s="2" t="str">
        <x:v>Ноутбук</x:v>
      </x:c>
      <x:c r="E962" s="7" t="n">
        <x:v>57912.15</x:v>
      </x:c>
      <x:c r="F962" s="9" t="n">
        <x:v>1</x:v>
      </x:c>
      <x:c r="G962" s="2" t="str">
        <x:v>Москва</x:v>
      </x:c>
      <x:c r="H962" s="7" t="n">
        <x:f>E962*F962</x:f>
        <x:v>57912.15</x:v>
      </x:c>
      <x:c r="I962" s="2" t="str">
        <x:f>TEXT(B962,"yyyy-mm")</x:f>
        <x:v>2023-10</x:v>
      </x:c>
      <x:c r="J962" s="8" t="n">
        <x:f>COUNTIFS($H$2:$H$1201,"&gt;"&amp;H962)+COUNTIFS($H$2:H962,H962)</x:f>
        <x:v>1064</x:v>
      </x:c>
      <x:c r="K962" s="1"/>
      <x:c r="L962" s="1"/>
    </x:row>
    <x:row r="963" ht="22" customHeight="1">
      <x:c r="A963" s="8" t="n">
        <x:v>427</x:v>
      </x:c>
      <x:c r="B963" s="6" t="n">
        <x:v>45227</x:v>
      </x:c>
      <x:c r="C963" s="2" t="str">
        <x:v>Товары для дома</x:v>
      </x:c>
      <x:c r="D963" s="2" t="str">
        <x:v>Плед</x:v>
      </x:c>
      <x:c r="E963" s="7" t="n">
        <x:v>120693.42</x:v>
      </x:c>
      <x:c r="F963" s="9" t="n">
        <x:v>8</x:v>
      </x:c>
      <x:c r="G963" s="2" t="str">
        <x:v>Новосибирск</x:v>
      </x:c>
      <x:c r="H963" s="7" t="n">
        <x:f>E963*F963</x:f>
        <x:v>965547.36</x:v>
      </x:c>
      <x:c r="I963" s="2" t="str">
        <x:f>TEXT(B963,"yyyy-mm")</x:f>
        <x:v>2023-10</x:v>
      </x:c>
      <x:c r="J963" s="8" t="n">
        <x:f>COUNTIFS($H$2:$H$1201,"&gt;"&amp;H963)+COUNTIFS($H$2:H963,H963)</x:f>
        <x:v>101</x:v>
      </x:c>
      <x:c r="K963" s="1"/>
      <x:c r="L963" s="1"/>
    </x:row>
    <x:row r="964" ht="22" customHeight="1">
      <x:c r="A964" s="8" t="n">
        <x:v>505</x:v>
      </x:c>
      <x:c r="B964" s="6" t="n">
        <x:v>45227</x:v>
      </x:c>
      <x:c r="C964" s="2" t="str">
        <x:v>Товары для дома</x:v>
      </x:c>
      <x:c r="D964" s="2" t="str">
        <x:v>Кружка</x:v>
      </x:c>
      <x:c r="E964" s="7" t="n">
        <x:v>9972.42</x:v>
      </x:c>
      <x:c r="F964" s="9" t="n">
        <x:v>9</x:v>
      </x:c>
      <x:c r="G964" s="2" t="str">
        <x:v>Казань</x:v>
      </x:c>
      <x:c r="H964" s="7" t="n">
        <x:f>E964*F964</x:f>
        <x:v>89751.78</x:v>
      </x:c>
      <x:c r="I964" s="2" t="str">
        <x:f>TEXT(B964,"yyyy-mm")</x:f>
        <x:v>2023-10</x:v>
      </x:c>
      <x:c r="J964" s="8" t="n">
        <x:f>COUNTIFS($H$2:$H$1201,"&gt;"&amp;H964)+COUNTIFS($H$2:H964,H964)</x:f>
        <x:v>993</x:v>
      </x:c>
      <x:c r="K964" s="1"/>
      <x:c r="L964" s="1"/>
    </x:row>
    <x:row r="965" ht="22" customHeight="1">
      <x:c r="A965" s="8" t="n">
        <x:v>628</x:v>
      </x:c>
      <x:c r="B965" s="6" t="n">
        <x:v>45227</x:v>
      </x:c>
      <x:c r="C965" s="2" t="str">
        <x:v>Продукты</x:v>
      </x:c>
      <x:c r="D965" s="2" t="str">
        <x:v>Шоколад</x:v>
      </x:c>
      <x:c r="E965" s="7" t="n">
        <x:v>105999.96</x:v>
      </x:c>
      <x:c r="F965" s="9" t="n">
        <x:v>5</x:v>
      </x:c>
      <x:c r="G965" s="2" t="str">
        <x:v>Санкт‑Петербург</x:v>
      </x:c>
      <x:c r="H965" s="7" t="n">
        <x:f>E965*F965</x:f>
        <x:v>529999.8</x:v>
      </x:c>
      <x:c r="I965" s="2" t="str">
        <x:f>TEXT(B965,"yyyy-mm")</x:f>
        <x:v>2023-10</x:v>
      </x:c>
      <x:c r="J965" s="8" t="n">
        <x:f>COUNTIFS($H$2:$H$1201,"&gt;"&amp;H965)+COUNTIFS($H$2:H965,H965)</x:f>
        <x:v>384</x:v>
      </x:c>
      <x:c r="K965" s="1"/>
      <x:c r="L965" s="1"/>
    </x:row>
    <x:row r="966" ht="22" customHeight="1">
      <x:c r="A966" s="8" t="n">
        <x:v>1002</x:v>
      </x:c>
      <x:c r="B966" s="6" t="n">
        <x:v>45227</x:v>
      </x:c>
      <x:c r="C966" s="2" t="str">
        <x:v>Товары для дома</x:v>
      </x:c>
      <x:c r="D966" s="2" t="str">
        <x:v>Плед</x:v>
      </x:c>
      <x:c r="E966" s="7" t="n">
        <x:v>95838.92</x:v>
      </x:c>
      <x:c r="F966" s="9" t="n">
        <x:v>1</x:v>
      </x:c>
      <x:c r="G966" s="2" t="str">
        <x:v>Москва</x:v>
      </x:c>
      <x:c r="H966" s="7" t="n">
        <x:f>E966*F966</x:f>
        <x:v>95838.92</x:v>
      </x:c>
      <x:c r="I966" s="2" t="str">
        <x:f>TEXT(B966,"yyyy-mm")</x:f>
        <x:v>2023-10</x:v>
      </x:c>
      <x:c r="J966" s="8" t="n">
        <x:f>COUNTIFS($H$2:$H$1201,"&gt;"&amp;H966)+COUNTIFS($H$2:H966,H966)</x:f>
        <x:v>978</x:v>
      </x:c>
      <x:c r="K966" s="1"/>
      <x:c r="L966" s="1"/>
    </x:row>
    <x:row r="967" ht="22" customHeight="1">
      <x:c r="A967" s="8" t="n">
        <x:v>1153</x:v>
      </x:c>
      <x:c r="B967" s="6" t="n">
        <x:v>45227</x:v>
      </x:c>
      <x:c r="C967" s="2" t="str">
        <x:v>Электроника</x:v>
      </x:c>
      <x:c r="D967" s="2" t="str">
        <x:v>Ноутбук</x:v>
      </x:c>
      <x:c r="E967" s="7" t="n">
        <x:v>107972.1</x:v>
      </x:c>
      <x:c r="F967" s="9" t="n">
        <x:v>3</x:v>
      </x:c>
      <x:c r="G967" s="2" t="str">
        <x:v>Казань</x:v>
      </x:c>
      <x:c r="H967" s="7" t="n">
        <x:f>E967*F967</x:f>
        <x:v>323916.30000000005</x:v>
      </x:c>
      <x:c r="I967" s="2" t="str">
        <x:f>TEXT(B967,"yyyy-mm")</x:f>
        <x:v>2023-10</x:v>
      </x:c>
      <x:c r="J967" s="8" t="n">
        <x:f>COUNTIFS($H$2:$H$1201,"&gt;"&amp;H967)+COUNTIFS($H$2:H967,H967)</x:f>
        <x:v>611</x:v>
      </x:c>
      <x:c r="K967" s="1"/>
      <x:c r="L967" s="1"/>
    </x:row>
    <x:row r="968" ht="22" customHeight="1">
      <x:c r="A968" s="8" t="n">
        <x:v>247</x:v>
      </x:c>
      <x:c r="B968" s="6" t="n">
        <x:v>45228</x:v>
      </x:c>
      <x:c r="C968" s="2" t="str">
        <x:v>Товары для дома</x:v>
      </x:c>
      <x:c r="D968" s="2" t="str">
        <x:v>Полотенце</x:v>
      </x:c>
      <x:c r="E968" s="7" t="n">
        <x:v>141782.36</x:v>
      </x:c>
      <x:c r="F968" s="9" t="n">
        <x:v>3</x:v>
      </x:c>
      <x:c r="G968" s="2" t="str">
        <x:v>Казань</x:v>
      </x:c>
      <x:c r="H968" s="7" t="n">
        <x:f>E968*F968</x:f>
        <x:v>425347.07999999996</x:v>
      </x:c>
      <x:c r="I968" s="2" t="str">
        <x:f>TEXT(B968,"yyyy-mm")</x:f>
        <x:v>2023-10</x:v>
      </x:c>
      <x:c r="J968" s="8" t="n">
        <x:f>COUNTIFS($H$2:$H$1201,"&gt;"&amp;H968)+COUNTIFS($H$2:H968,H968)</x:f>
        <x:v>490</x:v>
      </x:c>
      <x:c r="K968" s="1"/>
      <x:c r="L968" s="1"/>
    </x:row>
    <x:row r="969" ht="22" customHeight="1">
      <x:c r="A969" s="8" t="n">
        <x:v>489</x:v>
      </x:c>
      <x:c r="B969" s="6" t="n">
        <x:v>45228</x:v>
      </x:c>
      <x:c r="C969" s="2" t="str">
        <x:v>Товары для дома</x:v>
      </x:c>
      <x:c r="D969" s="2" t="str">
        <x:v>Полотенце</x:v>
      </x:c>
      <x:c r="E969" s="7" t="n">
        <x:v>69058.43</x:v>
      </x:c>
      <x:c r="F969" s="9" t="n">
        <x:v>2</x:v>
      </x:c>
      <x:c r="G969" s="2" t="str">
        <x:v>Санкт‑Петербург</x:v>
      </x:c>
      <x:c r="H969" s="7" t="n">
        <x:f>E969*F969</x:f>
        <x:v>138116.86</x:v>
      </x:c>
      <x:c r="I969" s="2" t="str">
        <x:f>TEXT(B969,"yyyy-mm")</x:f>
        <x:v>2023-10</x:v>
      </x:c>
      <x:c r="J969" s="8" t="n">
        <x:f>COUNTIFS($H$2:$H$1201,"&gt;"&amp;H969)+COUNTIFS($H$2:H969,H969)</x:f>
        <x:v>883</x:v>
      </x:c>
      <x:c r="K969" s="1"/>
      <x:c r="L969" s="1"/>
    </x:row>
    <x:row r="970" ht="22" customHeight="1">
      <x:c r="A970" s="8" t="n">
        <x:v>568</x:v>
      </x:c>
      <x:c r="B970" s="6" t="n">
        <x:v>45228</x:v>
      </x:c>
      <x:c r="C970" s="2" t="str">
        <x:v>Электроника</x:v>
      </x:c>
      <x:c r="D970" s="2" t="str">
        <x:v>Ноутбук</x:v>
      </x:c>
      <x:c r="E970" s="7" t="n">
        <x:v>81321.14</x:v>
      </x:c>
      <x:c r="F970" s="9" t="n">
        <x:v>5</x:v>
      </x:c>
      <x:c r="G970" s="2" t="str">
        <x:v>Санкт‑Петербург</x:v>
      </x:c>
      <x:c r="H970" s="7" t="n">
        <x:f>E970*F970</x:f>
        <x:v>406605.7</x:v>
      </x:c>
      <x:c r="I970" s="2" t="str">
        <x:f>TEXT(B970,"yyyy-mm")</x:f>
        <x:v>2023-10</x:v>
      </x:c>
      <x:c r="J970" s="8" t="n">
        <x:f>COUNTIFS($H$2:$H$1201,"&gt;"&amp;H970)+COUNTIFS($H$2:H970,H970)</x:f>
        <x:v>509</x:v>
      </x:c>
      <x:c r="K970" s="1"/>
      <x:c r="L970" s="1"/>
    </x:row>
    <x:row r="971" ht="22" customHeight="1">
      <x:c r="A971" s="8" t="n">
        <x:v>645</x:v>
      </x:c>
      <x:c r="B971" s="6" t="n">
        <x:v>45228</x:v>
      </x:c>
      <x:c r="C971" s="2" t="str">
        <x:v>Товары для дома</x:v>
      </x:c>
      <x:c r="D971" s="2" t="str">
        <x:v>Полотенце</x:v>
      </x:c>
      <x:c r="E971" s="7" t="n">
        <x:v>34024.99</x:v>
      </x:c>
      <x:c r="F971" s="9" t="n">
        <x:v>4</x:v>
      </x:c>
      <x:c r="G971" s="2" t="str">
        <x:v>Казань</x:v>
      </x:c>
      <x:c r="H971" s="7" t="n">
        <x:f>E971*F971</x:f>
        <x:v>136099.96</x:v>
      </x:c>
      <x:c r="I971" s="2" t="str">
        <x:f>TEXT(B971,"yyyy-mm")</x:f>
        <x:v>2023-10</x:v>
      </x:c>
      <x:c r="J971" s="8" t="n">
        <x:f>COUNTIFS($H$2:$H$1201,"&gt;"&amp;H971)+COUNTIFS($H$2:H971,H971)</x:f>
        <x:v>889</x:v>
      </x:c>
      <x:c r="K971" s="1"/>
      <x:c r="L971" s="1"/>
    </x:row>
    <x:row r="972" ht="22" customHeight="1">
      <x:c r="A972" s="8" t="n">
        <x:v>136</x:v>
      </x:c>
      <x:c r="B972" s="6" t="n">
        <x:v>45229</x:v>
      </x:c>
      <x:c r="C972" s="2" t="str">
        <x:v>Продукты</x:v>
      </x:c>
      <x:c r="D972" s="2" t="str">
        <x:v>Шоколад</x:v>
      </x:c>
      <x:c r="E972" s="7" t="n">
        <x:v>488.35</x:v>
      </x:c>
      <x:c r="F972" s="9" t="n">
        <x:v>3</x:v>
      </x:c>
      <x:c r="G972" s="2" t="str">
        <x:v>Санкт‑Петербург</x:v>
      </x:c>
      <x:c r="H972" s="7" t="n">
        <x:f>E972*F972</x:f>
        <x:v>1465.0500000000002</x:v>
      </x:c>
      <x:c r="I972" s="2" t="str">
        <x:f>TEXT(B972,"yyyy-mm")</x:f>
        <x:v>2023-10</x:v>
      </x:c>
      <x:c r="J972" s="8" t="n">
        <x:f>COUNTIFS($H$2:$H$1201,"&gt;"&amp;H972)+COUNTIFS($H$2:H972,H972)</x:f>
        <x:v>1199</x:v>
      </x:c>
      <x:c r="K972" s="1"/>
      <x:c r="L972" s="1"/>
    </x:row>
    <x:row r="973" ht="22" customHeight="1">
      <x:c r="A973" s="8" t="n">
        <x:v>421</x:v>
      </x:c>
      <x:c r="B973" s="6" t="n">
        <x:v>45229</x:v>
      </x:c>
      <x:c r="C973" s="2" t="str">
        <x:v>Электроника</x:v>
      </x:c>
      <x:c r="D973" s="2" t="str">
        <x:v>Планшет</x:v>
      </x:c>
      <x:c r="E973" s="7" t="n">
        <x:v>64683.91</x:v>
      </x:c>
      <x:c r="F973" s="9" t="n">
        <x:v>4</x:v>
      </x:c>
      <x:c r="G973" s="2" t="str">
        <x:v>Москва</x:v>
      </x:c>
      <x:c r="H973" s="7" t="n">
        <x:f>E973*F973</x:f>
        <x:v>258735.64</x:v>
      </x:c>
      <x:c r="I973" s="2" t="str">
        <x:f>TEXT(B973,"yyyy-mm")</x:f>
        <x:v>2023-10</x:v>
      </x:c>
      <x:c r="J973" s="8" t="n">
        <x:f>COUNTIFS($H$2:$H$1201,"&gt;"&amp;H973)+COUNTIFS($H$2:H973,H973)</x:f>
        <x:v>686</x:v>
      </x:c>
      <x:c r="K973" s="1"/>
      <x:c r="L973" s="1"/>
    </x:row>
    <x:row r="974" ht="22" customHeight="1">
      <x:c r="A974" s="8" t="n">
        <x:v>552</x:v>
      </x:c>
      <x:c r="B974" s="6" t="n">
        <x:v>45229</x:v>
      </x:c>
      <x:c r="C974" s="2" t="str">
        <x:v>Электроника</x:v>
      </x:c>
      <x:c r="D974" s="2" t="str">
        <x:v>Планшет</x:v>
      </x:c>
      <x:c r="E974" s="7" t="n">
        <x:v>39378.86</x:v>
      </x:c>
      <x:c r="F974" s="9" t="n">
        <x:v>7</x:v>
      </x:c>
      <x:c r="G974" s="2" t="str">
        <x:v>Новосибирск</x:v>
      </x:c>
      <x:c r="H974" s="7" t="n">
        <x:f>E974*F974</x:f>
        <x:v>275652.02</x:v>
      </x:c>
      <x:c r="I974" s="2" t="str">
        <x:f>TEXT(B974,"yyyy-mm")</x:f>
        <x:v>2023-10</x:v>
      </x:c>
      <x:c r="J974" s="8" t="n">
        <x:f>COUNTIFS($H$2:$H$1201,"&gt;"&amp;H974)+COUNTIFS($H$2:H974,H974)</x:f>
        <x:v>661</x:v>
      </x:c>
      <x:c r="K974" s="1"/>
      <x:c r="L974" s="1"/>
    </x:row>
    <x:row r="975" ht="22" customHeight="1">
      <x:c r="A975" s="8" t="n">
        <x:v>658</x:v>
      </x:c>
      <x:c r="B975" s="6" t="n">
        <x:v>45229</x:v>
      </x:c>
      <x:c r="C975" s="2" t="str">
        <x:v>Электроника</x:v>
      </x:c>
      <x:c r="D975" s="2" t="str">
        <x:v>Наушники</x:v>
      </x:c>
      <x:c r="E975" s="7" t="n">
        <x:v>131130.12</x:v>
      </x:c>
      <x:c r="F975" s="9" t="n">
        <x:v>3</x:v>
      </x:c>
      <x:c r="G975" s="2" t="str">
        <x:v>Казань</x:v>
      </x:c>
      <x:c r="H975" s="7" t="n">
        <x:f>E975*F975</x:f>
        <x:v>393390.36</x:v>
      </x:c>
      <x:c r="I975" s="2" t="str">
        <x:f>TEXT(B975,"yyyy-mm")</x:f>
        <x:v>2023-10</x:v>
      </x:c>
      <x:c r="J975" s="8" t="n">
        <x:f>COUNTIFS($H$2:$H$1201,"&gt;"&amp;H975)+COUNTIFS($H$2:H975,H975)</x:f>
        <x:v>530</x:v>
      </x:c>
      <x:c r="K975" s="1"/>
      <x:c r="L975" s="1"/>
    </x:row>
    <x:row r="976" ht="22" customHeight="1">
      <x:c r="A976" s="8" t="n">
        <x:v>1044</x:v>
      </x:c>
      <x:c r="B976" s="6" t="n">
        <x:v>45229</x:v>
      </x:c>
      <x:c r="C976" s="2" t="str">
        <x:v>Электроника</x:v>
      </x:c>
      <x:c r="D976" s="2" t="str">
        <x:v>Смартфон</x:v>
      </x:c>
      <x:c r="E976" s="7" t="n">
        <x:v>26574.06</x:v>
      </x:c>
      <x:c r="F976" s="9" t="n">
        <x:v>9</x:v>
      </x:c>
      <x:c r="G976" s="2" t="str">
        <x:v>Екатеринбург</x:v>
      </x:c>
      <x:c r="H976" s="7" t="n">
        <x:f>E976*F976</x:f>
        <x:v>239166.54</x:v>
      </x:c>
      <x:c r="I976" s="2" t="str">
        <x:f>TEXT(B976,"yyyy-mm")</x:f>
        <x:v>2023-10</x:v>
      </x:c>
      <x:c r="J976" s="8" t="n">
        <x:f>COUNTIFS($H$2:$H$1201,"&gt;"&amp;H976)+COUNTIFS($H$2:H976,H976)</x:f>
        <x:v>724</x:v>
      </x:c>
      <x:c r="K976" s="1"/>
      <x:c r="L976" s="1"/>
    </x:row>
    <x:row r="977" ht="22" customHeight="1">
      <x:c r="A977" s="8" t="n">
        <x:v>1116</x:v>
      </x:c>
      <x:c r="B977" s="6" t="n">
        <x:v>45229</x:v>
      </x:c>
      <x:c r="C977" s="2" t="str">
        <x:v>Продукты</x:v>
      </x:c>
      <x:c r="D977" s="2" t="str">
        <x:v>Молоко</x:v>
      </x:c>
      <x:c r="E977" s="7" t="n">
        <x:v>40983.45</x:v>
      </x:c>
      <x:c r="F977" s="9" t="n">
        <x:v>3</x:v>
      </x:c>
      <x:c r="G977" s="2" t="str">
        <x:v>Москва</x:v>
      </x:c>
      <x:c r="H977" s="7" t="n">
        <x:f>E977*F977</x:f>
        <x:v>122950.34999999999</x:v>
      </x:c>
      <x:c r="I977" s="2" t="str">
        <x:f>TEXT(B977,"yyyy-mm")</x:f>
        <x:v>2023-10</x:v>
      </x:c>
      <x:c r="J977" s="8" t="n">
        <x:f>COUNTIFS($H$2:$H$1201,"&gt;"&amp;H977)+COUNTIFS($H$2:H977,H977)</x:f>
        <x:v>921</x:v>
      </x:c>
      <x:c r="K977" s="1"/>
      <x:c r="L977" s="1"/>
    </x:row>
    <x:row r="978" ht="22" customHeight="1">
      <x:c r="A978" s="8" t="n">
        <x:v>90</x:v>
      </x:c>
      <x:c r="B978" s="6" t="n">
        <x:v>45230</x:v>
      </x:c>
      <x:c r="C978" s="2" t="str">
        <x:v>Одежда</x:v>
      </x:c>
      <x:c r="D978" s="2" t="str">
        <x:v>Кроссовки</x:v>
      </x:c>
      <x:c r="E978" s="7" t="n">
        <x:v>128125.82</x:v>
      </x:c>
      <x:c r="F978" s="9" t="n">
        <x:v>2</x:v>
      </x:c>
      <x:c r="G978" s="2" t="str">
        <x:v>Екатеринбург</x:v>
      </x:c>
      <x:c r="H978" s="7" t="n">
        <x:f>E978*F978</x:f>
        <x:v>256251.64</x:v>
      </x:c>
      <x:c r="I978" s="2" t="str">
        <x:f>TEXT(B978,"yyyy-mm")</x:f>
        <x:v>2023-10</x:v>
      </x:c>
      <x:c r="J978" s="8" t="n">
        <x:f>COUNTIFS($H$2:$H$1201,"&gt;"&amp;H978)+COUNTIFS($H$2:H978,H978)</x:f>
        <x:v>692</x:v>
      </x:c>
      <x:c r="K978" s="1"/>
      <x:c r="L978" s="1"/>
    </x:row>
    <x:row r="979" ht="22" customHeight="1">
      <x:c r="A979" s="8" t="n">
        <x:v>204</x:v>
      </x:c>
      <x:c r="B979" s="6" t="n">
        <x:v>45230</x:v>
      </x:c>
      <x:c r="C979" s="2" t="str">
        <x:v>Товары для дома</x:v>
      </x:c>
      <x:c r="D979" s="2" t="str">
        <x:v>Кружка</x:v>
      </x:c>
      <x:c r="E979" s="7" t="n">
        <x:v>61256.69</x:v>
      </x:c>
      <x:c r="F979" s="9" t="n">
        <x:v>9</x:v>
      </x:c>
      <x:c r="G979" s="2" t="str">
        <x:v>Московская область</x:v>
      </x:c>
      <x:c r="H979" s="7" t="n">
        <x:f>E979*F979</x:f>
        <x:v>551310.21</x:v>
      </x:c>
      <x:c r="I979" s="2" t="str">
        <x:f>TEXT(B979,"yyyy-mm")</x:f>
        <x:v>2023-10</x:v>
      </x:c>
      <x:c r="J979" s="8" t="n">
        <x:f>COUNTIFS($H$2:$H$1201,"&gt;"&amp;H979)+COUNTIFS($H$2:H979,H979)</x:f>
        <x:v>366</x:v>
      </x:c>
      <x:c r="K979" s="1"/>
      <x:c r="L979" s="1"/>
    </x:row>
    <x:row r="980" ht="22" customHeight="1">
      <x:c r="A980" s="8" t="n">
        <x:v>108</x:v>
      </x:c>
      <x:c r="B980" s="6" t="n">
        <x:v>45231</x:v>
      </x:c>
      <x:c r="C980" s="2" t="str">
        <x:v>Продукты</x:v>
      </x:c>
      <x:c r="D980" s="2" t="str">
        <x:v>Хлеб</x:v>
      </x:c>
      <x:c r="E980" s="7" t="n">
        <x:v>131713.25</x:v>
      </x:c>
      <x:c r="F980" s="9" t="n">
        <x:v>10</x:v>
      </x:c>
      <x:c r="G980" s="2" t="str">
        <x:v>Новосибирск</x:v>
      </x:c>
      <x:c r="H980" s="7" t="n">
        <x:f>E980*F980</x:f>
        <x:v>1317132.5</x:v>
      </x:c>
      <x:c r="I980" s="2" t="str">
        <x:f>TEXT(B980,"yyyy-mm")</x:f>
        <x:v>2023-11</x:v>
      </x:c>
      <x:c r="J980" s="8" t="n">
        <x:f>COUNTIFS($H$2:$H$1201,"&gt;"&amp;H980)+COUNTIFS($H$2:H980,H980)</x:f>
        <x:v>13</x:v>
      </x:c>
      <x:c r="K980" s="1"/>
      <x:c r="L980" s="1"/>
    </x:row>
    <x:row r="981" ht="22" customHeight="1">
      <x:c r="A981" s="8" t="n">
        <x:v>231</x:v>
      </x:c>
      <x:c r="B981" s="6" t="n">
        <x:v>45231</x:v>
      </x:c>
      <x:c r="C981" s="2" t="str">
        <x:v>Одежда</x:v>
      </x:c>
      <x:c r="D981" s="2" t="str">
        <x:v>Футболка</x:v>
      </x:c>
      <x:c r="E981" s="7" t="n">
        <x:v>116945.81</x:v>
      </x:c>
      <x:c r="F981" s="9" t="n">
        <x:v>4</x:v>
      </x:c>
      <x:c r="G981" s="2" t="str">
        <x:v>Санкт‑Петербург</x:v>
      </x:c>
      <x:c r="H981" s="7" t="n">
        <x:f>E981*F981</x:f>
        <x:v>467783.24</x:v>
      </x:c>
      <x:c r="I981" s="2" t="str">
        <x:f>TEXT(B981,"yyyy-mm")</x:f>
        <x:v>2023-11</x:v>
      </x:c>
      <x:c r="J981" s="8" t="n">
        <x:f>COUNTIFS($H$2:$H$1201,"&gt;"&amp;H981)+COUNTIFS($H$2:H981,H981)</x:f>
        <x:v>436</x:v>
      </x:c>
      <x:c r="K981" s="1"/>
      <x:c r="L981" s="1"/>
    </x:row>
    <x:row r="982" ht="22" customHeight="1">
      <x:c r="A982" s="8" t="n">
        <x:v>383</x:v>
      </x:c>
      <x:c r="B982" s="6" t="n">
        <x:v>45231</x:v>
      </x:c>
      <x:c r="C982" s="2" t="str">
        <x:v>Товары для дома</x:v>
      </x:c>
      <x:c r="D982" s="2" t="str">
        <x:v>Кружка</x:v>
      </x:c>
      <x:c r="E982" s="7" t="n">
        <x:v>61736.58</x:v>
      </x:c>
      <x:c r="F982" s="9" t="n">
        <x:v>1</x:v>
      </x:c>
      <x:c r="G982" s="2" t="str">
        <x:v>Казань</x:v>
      </x:c>
      <x:c r="H982" s="7" t="n">
        <x:f>E982*F982</x:f>
        <x:v>61736.58</x:v>
      </x:c>
      <x:c r="I982" s="2" t="str">
        <x:f>TEXT(B982,"yyyy-mm")</x:f>
        <x:v>2023-11</x:v>
      </x:c>
      <x:c r="J982" s="8" t="n">
        <x:f>COUNTIFS($H$2:$H$1201,"&gt;"&amp;H982)+COUNTIFS($H$2:H982,H982)</x:f>
        <x:v>1055</x:v>
      </x:c>
      <x:c r="K982" s="1"/>
      <x:c r="L982" s="1"/>
    </x:row>
    <x:row r="983" ht="22" customHeight="1">
      <x:c r="A983" s="8" t="n">
        <x:v>706</x:v>
      </x:c>
      <x:c r="B983" s="6" t="n">
        <x:v>45231</x:v>
      </x:c>
      <x:c r="C983" s="2" t="str">
        <x:v>Товары для дома</x:v>
      </x:c>
      <x:c r="D983" s="2" t="str">
        <x:v>Кружка</x:v>
      </x:c>
      <x:c r="E983" s="7" t="n">
        <x:v>120415.02</x:v>
      </x:c>
      <x:c r="F983" s="9" t="n">
        <x:v>8</x:v>
      </x:c>
      <x:c r="G983" s="2" t="str">
        <x:v>Казань</x:v>
      </x:c>
      <x:c r="H983" s="7" t="n">
        <x:f>E983*F983</x:f>
        <x:v>963320.16</x:v>
      </x:c>
      <x:c r="I983" s="2" t="str">
        <x:f>TEXT(B983,"yyyy-mm")</x:f>
        <x:v>2023-11</x:v>
      </x:c>
      <x:c r="J983" s="8" t="n">
        <x:f>COUNTIFS($H$2:$H$1201,"&gt;"&amp;H983)+COUNTIFS($H$2:H983,H983)</x:f>
        <x:v>103</x:v>
      </x:c>
      <x:c r="K983" s="1"/>
      <x:c r="L983" s="1"/>
    </x:row>
    <x:row r="984" ht="22" customHeight="1">
      <x:c r="A984" s="8" t="n">
        <x:v>96</x:v>
      </x:c>
      <x:c r="B984" s="6" t="n">
        <x:v>45232</x:v>
      </x:c>
      <x:c r="C984" s="2" t="str">
        <x:v>Одежда</x:v>
      </x:c>
      <x:c r="D984" s="2" t="str">
        <x:v>Футболка</x:v>
      </x:c>
      <x:c r="E984" s="7" t="n">
        <x:v>98809.51</x:v>
      </x:c>
      <x:c r="F984" s="9" t="n">
        <x:v>2</x:v>
      </x:c>
      <x:c r="G984" s="2" t="str">
        <x:v>Москва</x:v>
      </x:c>
      <x:c r="H984" s="7" t="n">
        <x:f>E984*F984</x:f>
        <x:v>197619.02</x:v>
      </x:c>
      <x:c r="I984" s="2" t="str">
        <x:f>TEXT(B984,"yyyy-mm")</x:f>
        <x:v>2023-11</x:v>
      </x:c>
      <x:c r="J984" s="8" t="n">
        <x:f>COUNTIFS($H$2:$H$1201,"&gt;"&amp;H984)+COUNTIFS($H$2:H984,H984)</x:f>
        <x:v>790</x:v>
      </x:c>
      <x:c r="K984" s="1"/>
      <x:c r="L984" s="1"/>
    </x:row>
    <x:row r="985" ht="22" customHeight="1">
      <x:c r="A985" s="8" t="n">
        <x:v>151</x:v>
      </x:c>
      <x:c r="B985" s="6" t="n">
        <x:v>45232</x:v>
      </x:c>
      <x:c r="C985" s="2" t="str">
        <x:v>Электроника</x:v>
      </x:c>
      <x:c r="D985" s="2" t="str">
        <x:v>Планшет</x:v>
      </x:c>
      <x:c r="E985" s="7" t="n">
        <x:v>133459.56</x:v>
      </x:c>
      <x:c r="F985" s="9" t="n">
        <x:v>9</x:v>
      </x:c>
      <x:c r="G985" s="2" t="str">
        <x:v>Московская область</x:v>
      </x:c>
      <x:c r="H985" s="7" t="n">
        <x:f>E985*F985</x:f>
        <x:v>1201136.04</x:v>
      </x:c>
      <x:c r="I985" s="2" t="str">
        <x:f>TEXT(B985,"yyyy-mm")</x:f>
        <x:v>2023-11</x:v>
      </x:c>
      <x:c r="J985" s="8" t="n">
        <x:f>COUNTIFS($H$2:$H$1201,"&gt;"&amp;H985)+COUNTIFS($H$2:H985,H985)</x:f>
        <x:v>31</x:v>
      </x:c>
      <x:c r="K985" s="1"/>
      <x:c r="L985" s="1"/>
    </x:row>
    <x:row r="986" ht="22" customHeight="1">
      <x:c r="A986" s="8" t="n">
        <x:v>244</x:v>
      </x:c>
      <x:c r="B986" s="6" t="n">
        <x:v>45232</x:v>
      </x:c>
      <x:c r="C986" s="2" t="str">
        <x:v>Одежда</x:v>
      </x:c>
      <x:c r="D986" s="2" t="str">
        <x:v>Футболка</x:v>
      </x:c>
      <x:c r="E986" s="7" t="n">
        <x:v>137686.82</x:v>
      </x:c>
      <x:c r="F986" s="9" t="n">
        <x:v>7</x:v>
      </x:c>
      <x:c r="G986" s="2" t="str">
        <x:v>Московская область</x:v>
      </x:c>
      <x:c r="H986" s="7" t="n">
        <x:f>E986*F986</x:f>
        <x:v>963807.74</x:v>
      </x:c>
      <x:c r="I986" s="2" t="str">
        <x:f>TEXT(B986,"yyyy-mm")</x:f>
        <x:v>2023-11</x:v>
      </x:c>
      <x:c r="J986" s="8" t="n">
        <x:f>COUNTIFS($H$2:$H$1201,"&gt;"&amp;H986)+COUNTIFS($H$2:H986,H986)</x:f>
        <x:v>102</x:v>
      </x:c>
      <x:c r="K986" s="1"/>
      <x:c r="L986" s="1"/>
    </x:row>
    <x:row r="987" ht="22" customHeight="1">
      <x:c r="A987" s="8" t="n">
        <x:v>428</x:v>
      </x:c>
      <x:c r="B987" s="6" t="n">
        <x:v>45232</x:v>
      </x:c>
      <x:c r="C987" s="2" t="str">
        <x:v>Товары для дома</x:v>
      </x:c>
      <x:c r="D987" s="2" t="str">
        <x:v>Полотенце</x:v>
      </x:c>
      <x:c r="E987" s="7" t="n">
        <x:v>21726.9</x:v>
      </x:c>
      <x:c r="F987" s="9" t="n">
        <x:v>7</x:v>
      </x:c>
      <x:c r="G987" s="2" t="str">
        <x:v>Екатеринбург</x:v>
      </x:c>
      <x:c r="H987" s="7" t="n">
        <x:f>E987*F987</x:f>
        <x:v>152088.30000000002</x:v>
      </x:c>
      <x:c r="I987" s="2" t="str">
        <x:f>TEXT(B987,"yyyy-mm")</x:f>
        <x:v>2023-11</x:v>
      </x:c>
      <x:c r="J987" s="8" t="n">
        <x:f>COUNTIFS($H$2:$H$1201,"&gt;"&amp;H987)+COUNTIFS($H$2:H987,H987)</x:f>
        <x:v>850</x:v>
      </x:c>
      <x:c r="K987" s="1"/>
      <x:c r="L987" s="1"/>
    </x:row>
    <x:row r="988" ht="22" customHeight="1">
      <x:c r="A988" s="8" t="n">
        <x:v>597</x:v>
      </x:c>
      <x:c r="B988" s="6" t="n">
        <x:v>45232</x:v>
      </x:c>
      <x:c r="C988" s="2" t="str">
        <x:v>Электроника</x:v>
      </x:c>
      <x:c r="D988" s="2" t="str">
        <x:v>Планшет</x:v>
      </x:c>
      <x:c r="E988" s="7" t="n">
        <x:v>77106.93</x:v>
      </x:c>
      <x:c r="F988" s="9" t="n">
        <x:v>10</x:v>
      </x:c>
      <x:c r="G988" s="2" t="str">
        <x:v>Московская область</x:v>
      </x:c>
      <x:c r="H988" s="7" t="n">
        <x:f>E988*F988</x:f>
        <x:v>771069.2999999999</x:v>
      </x:c>
      <x:c r="I988" s="2" t="str">
        <x:f>TEXT(B988,"yyyy-mm")</x:f>
        <x:v>2023-11</x:v>
      </x:c>
      <x:c r="J988" s="8" t="n">
        <x:f>COUNTIFS($H$2:$H$1201,"&gt;"&amp;H988)+COUNTIFS($H$2:H988,H988)</x:f>
        <x:v>215</x:v>
      </x:c>
      <x:c r="K988" s="1"/>
      <x:c r="L988" s="1"/>
    </x:row>
    <x:row r="989" ht="22" customHeight="1">
      <x:c r="A989" s="8" t="n">
        <x:v>493</x:v>
      </x:c>
      <x:c r="B989" s="6" t="n">
        <x:v>45233</x:v>
      </x:c>
      <x:c r="C989" s="2" t="str">
        <x:v>Товары для дома</x:v>
      </x:c>
      <x:c r="D989" s="2" t="str">
        <x:v>Плед</x:v>
      </x:c>
      <x:c r="E989" s="7" t="n">
        <x:v>28179.34</x:v>
      </x:c>
      <x:c r="F989" s="9" t="n">
        <x:v>9</x:v>
      </x:c>
      <x:c r="G989" s="2" t="str">
        <x:v>Санкт‑Петербург</x:v>
      </x:c>
      <x:c r="H989" s="7" t="n">
        <x:f>E989*F989</x:f>
        <x:v>253614.06</x:v>
      </x:c>
      <x:c r="I989" s="2" t="str">
        <x:f>TEXT(B989,"yyyy-mm")</x:f>
        <x:v>2023-11</x:v>
      </x:c>
      <x:c r="J989" s="8" t="n">
        <x:f>COUNTIFS($H$2:$H$1201,"&gt;"&amp;H989)+COUNTIFS($H$2:H989,H989)</x:f>
        <x:v>699</x:v>
      </x:c>
      <x:c r="K989" s="1"/>
      <x:c r="L989" s="1"/>
    </x:row>
    <x:row r="990" ht="22" customHeight="1">
      <x:c r="A990" s="8" t="n">
        <x:v>833</x:v>
      </x:c>
      <x:c r="B990" s="6" t="n">
        <x:v>45233</x:v>
      </x:c>
      <x:c r="C990" s="2" t="str">
        <x:v>Товары для дома</x:v>
      </x:c>
      <x:c r="D990" s="2" t="str">
        <x:v>Кружка</x:v>
      </x:c>
      <x:c r="E990" s="7" t="n">
        <x:v>102518.84</x:v>
      </x:c>
      <x:c r="F990" s="9" t="n">
        <x:v>9</x:v>
      </x:c>
      <x:c r="G990" s="2" t="str">
        <x:v>Екатеринбург</x:v>
      </x:c>
      <x:c r="H990" s="7" t="n">
        <x:f>E990*F990</x:f>
        <x:v>922669.5599999999</x:v>
      </x:c>
      <x:c r="I990" s="2" t="str">
        <x:f>TEXT(B990,"yyyy-mm")</x:f>
        <x:v>2023-11</x:v>
      </x:c>
      <x:c r="J990" s="8" t="n">
        <x:f>COUNTIFS($H$2:$H$1201,"&gt;"&amp;H990)+COUNTIFS($H$2:H990,H990)</x:f>
        <x:v>120</x:v>
      </x:c>
      <x:c r="K990" s="1"/>
      <x:c r="L990" s="1"/>
    </x:row>
    <x:row r="991" ht="22" customHeight="1">
      <x:c r="A991" s="8" t="n">
        <x:v>1058</x:v>
      </x:c>
      <x:c r="B991" s="6" t="n">
        <x:v>45233</x:v>
      </x:c>
      <x:c r="C991" s="2" t="str">
        <x:v>Электроника</x:v>
      </x:c>
      <x:c r="D991" s="2" t="str">
        <x:v>Ноутбук</x:v>
      </x:c>
      <x:c r="E991" s="7" t="n">
        <x:v>14302.36</x:v>
      </x:c>
      <x:c r="F991" s="9" t="n">
        <x:v>4</x:v>
      </x:c>
      <x:c r="G991" s="2" t="str">
        <x:v>Санкт‑Петербург</x:v>
      </x:c>
      <x:c r="H991" s="7" t="n">
        <x:f>E991*F991</x:f>
        <x:v>57209.44</x:v>
      </x:c>
      <x:c r="I991" s="2" t="str">
        <x:f>TEXT(B991,"yyyy-mm")</x:f>
        <x:v>2023-11</x:v>
      </x:c>
      <x:c r="J991" s="8" t="n">
        <x:f>COUNTIFS($H$2:$H$1201,"&gt;"&amp;H991)+COUNTIFS($H$2:H991,H991)</x:f>
        <x:v>1068</x:v>
      </x:c>
      <x:c r="K991" s="1"/>
      <x:c r="L991" s="1"/>
    </x:row>
    <x:row r="992" ht="22" customHeight="1">
      <x:c r="A992" s="8" t="n">
        <x:v>1121</x:v>
      </x:c>
      <x:c r="B992" s="6" t="n">
        <x:v>45233</x:v>
      </x:c>
      <x:c r="C992" s="2" t="str">
        <x:v>Электроника</x:v>
      </x:c>
      <x:c r="D992" s="2" t="str">
        <x:v>Ноутбук</x:v>
      </x:c>
      <x:c r="E992" s="7" t="n">
        <x:v>117699.62</x:v>
      </x:c>
      <x:c r="F992" s="9" t="n">
        <x:v>8</x:v>
      </x:c>
      <x:c r="G992" s="2" t="str">
        <x:v>Московская область</x:v>
      </x:c>
      <x:c r="H992" s="7" t="n">
        <x:f>E992*F992</x:f>
        <x:v>941596.96</x:v>
      </x:c>
      <x:c r="I992" s="2" t="str">
        <x:f>TEXT(B992,"yyyy-mm")</x:f>
        <x:v>2023-11</x:v>
      </x:c>
      <x:c r="J992" s="8" t="n">
        <x:f>COUNTIFS($H$2:$H$1201,"&gt;"&amp;H992)+COUNTIFS($H$2:H992,H992)</x:f>
        <x:v>115</x:v>
      </x:c>
      <x:c r="K992" s="1"/>
      <x:c r="L992" s="1"/>
    </x:row>
    <x:row r="993" ht="22" customHeight="1">
      <x:c r="A993" s="8" t="n">
        <x:v>6</x:v>
      </x:c>
      <x:c r="B993" s="6" t="n">
        <x:v>45234</x:v>
      </x:c>
      <x:c r="C993" s="2" t="str">
        <x:v>Электроника</x:v>
      </x:c>
      <x:c r="D993" s="2" t="str">
        <x:v>Наушники</x:v>
      </x:c>
      <x:c r="E993" s="7" t="n">
        <x:v>59977.17</x:v>
      </x:c>
      <x:c r="F993" s="9" t="n">
        <x:v>9</x:v>
      </x:c>
      <x:c r="G993" s="2" t="str">
        <x:v>Москва</x:v>
      </x:c>
      <x:c r="H993" s="7" t="n">
        <x:f>E993*F993</x:f>
        <x:v>539794.53</x:v>
      </x:c>
      <x:c r="I993" s="2" t="str">
        <x:f>TEXT(B993,"yyyy-mm")</x:f>
        <x:v>2023-11</x:v>
      </x:c>
      <x:c r="J993" s="8" t="n">
        <x:f>COUNTIFS($H$2:$H$1201,"&gt;"&amp;H993)+COUNTIFS($H$2:H993,H993)</x:f>
        <x:v>378</x:v>
      </x:c>
      <x:c r="K993" s="1"/>
      <x:c r="L993" s="1"/>
    </x:row>
    <x:row r="994" ht="22" customHeight="1">
      <x:c r="A994" s="8" t="n">
        <x:v>201</x:v>
      </x:c>
      <x:c r="B994" s="6" t="n">
        <x:v>45234</x:v>
      </x:c>
      <x:c r="C994" s="2" t="str">
        <x:v>Товары для дома</x:v>
      </x:c>
      <x:c r="D994" s="2" t="str">
        <x:v>Полотенце</x:v>
      </x:c>
      <x:c r="E994" s="7" t="n">
        <x:v>19124.56</x:v>
      </x:c>
      <x:c r="F994" s="9" t="n">
        <x:v>4</x:v>
      </x:c>
      <x:c r="G994" s="2" t="str">
        <x:v>Екатеринбург</x:v>
      </x:c>
      <x:c r="H994" s="7" t="n">
        <x:f>E994*F994</x:f>
        <x:v>76498.24</x:v>
      </x:c>
      <x:c r="I994" s="2" t="str">
        <x:f>TEXT(B994,"yyyy-mm")</x:f>
        <x:v>2023-11</x:v>
      </x:c>
      <x:c r="J994" s="8" t="n">
        <x:f>COUNTIFS($H$2:$H$1201,"&gt;"&amp;H994)+COUNTIFS($H$2:H994,H994)</x:f>
        <x:v>1025</x:v>
      </x:c>
      <x:c r="K994" s="1"/>
      <x:c r="L994" s="1"/>
    </x:row>
    <x:row r="995" ht="22" customHeight="1">
      <x:c r="A995" s="8" t="n">
        <x:v>445</x:v>
      </x:c>
      <x:c r="B995" s="6" t="n">
        <x:v>45234</x:v>
      </x:c>
      <x:c r="C995" s="2" t="str">
        <x:v>Одежда</x:v>
      </x:c>
      <x:c r="D995" s="2" t="str">
        <x:v>Куртка</x:v>
      </x:c>
      <x:c r="E995" s="7" t="n">
        <x:v>143651.5</x:v>
      </x:c>
      <x:c r="F995" s="9" t="n">
        <x:v>2</x:v>
      </x:c>
      <x:c r="G995" s="2" t="str">
        <x:v>Московская область</x:v>
      </x:c>
      <x:c r="H995" s="7" t="n">
        <x:f>E995*F995</x:f>
        <x:v>287303</x:v>
      </x:c>
      <x:c r="I995" s="2" t="str">
        <x:f>TEXT(B995,"yyyy-mm")</x:f>
        <x:v>2023-11</x:v>
      </x:c>
      <x:c r="J995" s="8" t="n">
        <x:f>COUNTIFS($H$2:$H$1201,"&gt;"&amp;H995)+COUNTIFS($H$2:H995,H995)</x:f>
        <x:v>644</x:v>
      </x:c>
      <x:c r="K995" s="1"/>
      <x:c r="L995" s="1"/>
    </x:row>
    <x:row r="996" ht="22" customHeight="1">
      <x:c r="A996" s="8" t="n">
        <x:v>767</x:v>
      </x:c>
      <x:c r="B996" s="6" t="n">
        <x:v>45234</x:v>
      </x:c>
      <x:c r="C996" s="2" t="str">
        <x:v>Одежда</x:v>
      </x:c>
      <x:c r="D996" s="2" t="str">
        <x:v>Куртка</x:v>
      </x:c>
      <x:c r="E996" s="7" t="n">
        <x:v>34040</x:v>
      </x:c>
      <x:c r="F996" s="9" t="n">
        <x:v>6</x:v>
      </x:c>
      <x:c r="G996" s="2" t="str">
        <x:v>Екатеринбург</x:v>
      </x:c>
      <x:c r="H996" s="7" t="n">
        <x:f>E996*F996</x:f>
        <x:v>204240</x:v>
      </x:c>
      <x:c r="I996" s="2" t="str">
        <x:f>TEXT(B996,"yyyy-mm")</x:f>
        <x:v>2023-11</x:v>
      </x:c>
      <x:c r="J996" s="8" t="n">
        <x:f>COUNTIFS($H$2:$H$1201,"&gt;"&amp;H996)+COUNTIFS($H$2:H996,H996)</x:f>
        <x:v>782</x:v>
      </x:c>
      <x:c r="K996" s="1"/>
      <x:c r="L996" s="1"/>
    </x:row>
    <x:row r="997" ht="22" customHeight="1">
      <x:c r="A997" s="8" t="n">
        <x:v>1098</x:v>
      </x:c>
      <x:c r="B997" s="6" t="n">
        <x:v>45234</x:v>
      </x:c>
      <x:c r="C997" s="2" t="str">
        <x:v>Одежда</x:v>
      </x:c>
      <x:c r="D997" s="2" t="str">
        <x:v>Джинсы</x:v>
      </x:c>
      <x:c r="E997" s="7" t="n">
        <x:v>4851.47</x:v>
      </x:c>
      <x:c r="F997" s="9" t="n">
        <x:v>10</x:v>
      </x:c>
      <x:c r="G997" s="2" t="str">
        <x:v>Москва</x:v>
      </x:c>
      <x:c r="H997" s="7" t="n">
        <x:f>E997*F997</x:f>
        <x:v>48514.700000000004</x:v>
      </x:c>
      <x:c r="I997" s="2" t="str">
        <x:f>TEXT(B997,"yyyy-mm")</x:f>
        <x:v>2023-11</x:v>
      </x:c>
      <x:c r="J997" s="8" t="n">
        <x:f>COUNTIFS($H$2:$H$1201,"&gt;"&amp;H997)+COUNTIFS($H$2:H997,H997)</x:f>
        <x:v>1089</x:v>
      </x:c>
      <x:c r="K997" s="1"/>
      <x:c r="L997" s="1"/>
    </x:row>
    <x:row r="998" ht="22" customHeight="1">
      <x:c r="A998" s="8" t="n">
        <x:v>840</x:v>
      </x:c>
      <x:c r="B998" s="6" t="n">
        <x:v>45235</x:v>
      </x:c>
      <x:c r="C998" s="2" t="str">
        <x:v>Товары для дома</x:v>
      </x:c>
      <x:c r="D998" s="2" t="str">
        <x:v>Кружка</x:v>
      </x:c>
      <x:c r="E998" s="7" t="n">
        <x:v>110331.59</x:v>
      </x:c>
      <x:c r="F998" s="9" t="n">
        <x:v>8</x:v>
      </x:c>
      <x:c r="G998" s="2" t="str">
        <x:v>Московская область</x:v>
      </x:c>
      <x:c r="H998" s="7" t="n">
        <x:f>E998*F998</x:f>
        <x:v>882652.72</x:v>
      </x:c>
      <x:c r="I998" s="2" t="str">
        <x:f>TEXT(B998,"yyyy-mm")</x:f>
        <x:v>2023-11</x:v>
      </x:c>
      <x:c r="J998" s="8" t="n">
        <x:f>COUNTIFS($H$2:$H$1201,"&gt;"&amp;H998)+COUNTIFS($H$2:H998,H998)</x:f>
        <x:v>143</x:v>
      </x:c>
      <x:c r="K998" s="1"/>
      <x:c r="L998" s="1"/>
    </x:row>
    <x:row r="999" ht="22" customHeight="1">
      <x:c r="A999" s="8" t="n">
        <x:v>1023</x:v>
      </x:c>
      <x:c r="B999" s="6" t="n">
        <x:v>45235</x:v>
      </x:c>
      <x:c r="C999" s="2" t="str">
        <x:v>Электроника</x:v>
      </x:c>
      <x:c r="D999" s="2" t="str">
        <x:v>Ноутбук</x:v>
      </x:c>
      <x:c r="E999" s="7" t="n">
        <x:v>13575.16</x:v>
      </x:c>
      <x:c r="F999" s="9" t="n">
        <x:v>6</x:v>
      </x:c>
      <x:c r="G999" s="2" t="str">
        <x:v>Екатеринбург</x:v>
      </x:c>
      <x:c r="H999" s="7" t="n">
        <x:f>E999*F999</x:f>
        <x:v>81450.95999999999</x:v>
      </x:c>
      <x:c r="I999" s="2" t="str">
        <x:f>TEXT(B999,"yyyy-mm")</x:f>
        <x:v>2023-11</x:v>
      </x:c>
      <x:c r="J999" s="8" t="n">
        <x:f>COUNTIFS($H$2:$H$1201,"&gt;"&amp;H999)+COUNTIFS($H$2:H999,H999)</x:f>
        <x:v>1011</x:v>
      </x:c>
      <x:c r="K999" s="1"/>
      <x:c r="L999" s="1"/>
    </x:row>
    <x:row r="1000" ht="22" customHeight="1">
      <x:c r="A1000" s="8" t="n">
        <x:v>1026</x:v>
      </x:c>
      <x:c r="B1000" s="6" t="n">
        <x:v>45235</x:v>
      </x:c>
      <x:c r="C1000" s="2" t="str">
        <x:v>Продукты</x:v>
      </x:c>
      <x:c r="D1000" s="2" t="str">
        <x:v>Хлеб</x:v>
      </x:c>
      <x:c r="E1000" s="7" t="n">
        <x:v>64362.67</x:v>
      </x:c>
      <x:c r="F1000" s="9" t="n">
        <x:v>7</x:v>
      </x:c>
      <x:c r="G1000" s="2" t="str">
        <x:v>Новосибирск</x:v>
      </x:c>
      <x:c r="H1000" s="7" t="n">
        <x:f>E1000*F1000</x:f>
        <x:v>450538.69</x:v>
      </x:c>
      <x:c r="I1000" s="2" t="str">
        <x:f>TEXT(B1000,"yyyy-mm")</x:f>
        <x:v>2023-11</x:v>
      </x:c>
      <x:c r="J1000" s="8" t="n">
        <x:f>COUNTIFS($H$2:$H$1201,"&gt;"&amp;H1000)+COUNTIFS($H$2:H1000,H1000)</x:f>
        <x:v>451</x:v>
      </x:c>
      <x:c r="K1000" s="1"/>
      <x:c r="L1000" s="1"/>
    </x:row>
    <x:row r="1001" ht="22" customHeight="1">
      <x:c r="A1001" s="8" t="n">
        <x:v>102</x:v>
      </x:c>
      <x:c r="B1001" s="6" t="n">
        <x:v>45236</x:v>
      </x:c>
      <x:c r="C1001" s="2" t="str">
        <x:v>Одежда</x:v>
      </x:c>
      <x:c r="D1001" s="2" t="str">
        <x:v>Футболка</x:v>
      </x:c>
      <x:c r="E1001" s="7" t="n">
        <x:v>61412.57</x:v>
      </x:c>
      <x:c r="F1001" s="9" t="n">
        <x:v>3</x:v>
      </x:c>
      <x:c r="G1001" s="2" t="str">
        <x:v>Екатеринбург</x:v>
      </x:c>
      <x:c r="H1001" s="7" t="n">
        <x:f>E1001*F1001</x:f>
        <x:v>184237.71</x:v>
      </x:c>
      <x:c r="I1001" s="2" t="str">
        <x:f>TEXT(B1001,"yyyy-mm")</x:f>
        <x:v>2023-11</x:v>
      </x:c>
      <x:c r="J1001" s="8" t="n">
        <x:f>COUNTIFS($H$2:$H$1201,"&gt;"&amp;H1001)+COUNTIFS($H$2:H1001,H1001)</x:f>
        <x:v>810</x:v>
      </x:c>
      <x:c r="K1001" s="1"/>
      <x:c r="L1001" s="1"/>
    </x:row>
    <x:row r="1002" ht="22" customHeight="1">
      <x:c r="A1002" s="8" t="n">
        <x:v>198</x:v>
      </x:c>
      <x:c r="B1002" s="6" t="n">
        <x:v>45236</x:v>
      </x:c>
      <x:c r="C1002" s="2" t="str">
        <x:v>Одежда</x:v>
      </x:c>
      <x:c r="D1002" s="2" t="str">
        <x:v>Джинсы</x:v>
      </x:c>
      <x:c r="E1002" s="7" t="n">
        <x:v>16466.65</x:v>
      </x:c>
      <x:c r="F1002" s="9" t="n">
        <x:v>8</x:v>
      </x:c>
      <x:c r="G1002" s="2" t="str">
        <x:v>Екатеринбург</x:v>
      </x:c>
      <x:c r="H1002" s="7" t="n">
        <x:f>E1002*F1002</x:f>
        <x:v>131733.2</x:v>
      </x:c>
      <x:c r="I1002" s="2" t="str">
        <x:f>TEXT(B1002,"yyyy-mm")</x:f>
        <x:v>2023-11</x:v>
      </x:c>
      <x:c r="J1002" s="8" t="n">
        <x:f>COUNTIFS($H$2:$H$1201,"&gt;"&amp;H1002)+COUNTIFS($H$2:H1002,H1002)</x:f>
        <x:v>900</x:v>
      </x:c>
      <x:c r="K1002" s="1"/>
      <x:c r="L1002" s="1"/>
    </x:row>
    <x:row r="1003" ht="22" customHeight="1">
      <x:c r="A1003" s="8" t="n">
        <x:v>672</x:v>
      </x:c>
      <x:c r="B1003" s="6" t="n">
        <x:v>45236</x:v>
      </x:c>
      <x:c r="C1003" s="2" t="str">
        <x:v>Товары для дома</x:v>
      </x:c>
      <x:c r="D1003" s="2" t="str">
        <x:v>Подушка</x:v>
      </x:c>
      <x:c r="E1003" s="7" t="n">
        <x:v>32139.91</x:v>
      </x:c>
      <x:c r="F1003" s="9" t="n">
        <x:v>1</x:v>
      </x:c>
      <x:c r="G1003" s="2" t="str">
        <x:v>Москва</x:v>
      </x:c>
      <x:c r="H1003" s="7" t="n">
        <x:f>E1003*F1003</x:f>
        <x:v>32139.91</x:v>
      </x:c>
      <x:c r="I1003" s="2" t="str">
        <x:f>TEXT(B1003,"yyyy-mm")</x:f>
        <x:v>2023-11</x:v>
      </x:c>
      <x:c r="J1003" s="8" t="n">
        <x:f>COUNTIFS($H$2:$H$1201,"&gt;"&amp;H1003)+COUNTIFS($H$2:H1003,H1003)</x:f>
        <x:v>1120</x:v>
      </x:c>
      <x:c r="K1003" s="1"/>
      <x:c r="L1003" s="1"/>
    </x:row>
    <x:row r="1004" ht="22" customHeight="1">
      <x:c r="A1004" s="8" t="n">
        <x:v>1005</x:v>
      </x:c>
      <x:c r="B1004" s="6" t="n">
        <x:v>45236</x:v>
      </x:c>
      <x:c r="C1004" s="2" t="str">
        <x:v>Электроника</x:v>
      </x:c>
      <x:c r="D1004" s="2" t="str">
        <x:v>Наушники</x:v>
      </x:c>
      <x:c r="E1004" s="7" t="n">
        <x:v>112924.93</x:v>
      </x:c>
      <x:c r="F1004" s="9" t="n">
        <x:v>5</x:v>
      </x:c>
      <x:c r="G1004" s="2" t="str">
        <x:v>Казань</x:v>
      </x:c>
      <x:c r="H1004" s="7" t="n">
        <x:f>E1004*F1004</x:f>
        <x:v>564624.6499999999</x:v>
      </x:c>
      <x:c r="I1004" s="2" t="str">
        <x:f>TEXT(B1004,"yyyy-mm")</x:f>
        <x:v>2023-11</x:v>
      </x:c>
      <x:c r="J1004" s="8" t="n">
        <x:f>COUNTIFS($H$2:$H$1201,"&gt;"&amp;H1004)+COUNTIFS($H$2:H1004,H1004)</x:f>
        <x:v>356</x:v>
      </x:c>
      <x:c r="K1004" s="1"/>
      <x:c r="L1004" s="1"/>
    </x:row>
    <x:row r="1005" ht="22" customHeight="1">
      <x:c r="A1005" s="8" t="n">
        <x:v>1077</x:v>
      </x:c>
      <x:c r="B1005" s="6" t="n">
        <x:v>45236</x:v>
      </x:c>
      <x:c r="C1005" s="2" t="str">
        <x:v>Одежда</x:v>
      </x:c>
      <x:c r="D1005" s="2" t="str">
        <x:v>Футболка</x:v>
      </x:c>
      <x:c r="E1005" s="7" t="n">
        <x:v>31925.36</x:v>
      </x:c>
      <x:c r="F1005" s="9" t="n">
        <x:v>1</x:v>
      </x:c>
      <x:c r="G1005" s="2" t="str">
        <x:v>Новосибирск</x:v>
      </x:c>
      <x:c r="H1005" s="7" t="n">
        <x:f>E1005*F1005</x:f>
        <x:v>31925.36</x:v>
      </x:c>
      <x:c r="I1005" s="2" t="str">
        <x:f>TEXT(B1005,"yyyy-mm")</x:f>
        <x:v>2023-11</x:v>
      </x:c>
      <x:c r="J1005" s="8" t="n">
        <x:f>COUNTIFS($H$2:$H$1201,"&gt;"&amp;H1005)+COUNTIFS($H$2:H1005,H1005)</x:f>
        <x:v>1121</x:v>
      </x:c>
      <x:c r="K1005" s="1"/>
      <x:c r="L1005" s="1"/>
    </x:row>
    <x:row r="1006" ht="22" customHeight="1">
      <x:c r="A1006" s="8" t="n">
        <x:v>111</x:v>
      </x:c>
      <x:c r="B1006" s="6" t="n">
        <x:v>45237</x:v>
      </x:c>
      <x:c r="C1006" s="2" t="str">
        <x:v>Товары для дома</x:v>
      </x:c>
      <x:c r="D1006" s="2" t="str">
        <x:v>Подушка</x:v>
      </x:c>
      <x:c r="E1006" s="7" t="n">
        <x:v>141268.19</x:v>
      </x:c>
      <x:c r="F1006" s="9" t="n">
        <x:v>1</x:v>
      </x:c>
      <x:c r="G1006" s="2" t="str">
        <x:v>Казань</x:v>
      </x:c>
      <x:c r="H1006" s="7" t="n">
        <x:f>E1006*F1006</x:f>
        <x:v>141268.19</x:v>
      </x:c>
      <x:c r="I1006" s="2" t="str">
        <x:f>TEXT(B1006,"yyyy-mm")</x:f>
        <x:v>2023-11</x:v>
      </x:c>
      <x:c r="J1006" s="8" t="n">
        <x:f>COUNTIFS($H$2:$H$1201,"&gt;"&amp;H1006)+COUNTIFS($H$2:H1006,H1006)</x:f>
        <x:v>874</x:v>
      </x:c>
      <x:c r="K1006" s="1"/>
      <x:c r="L1006" s="1"/>
    </x:row>
    <x:row r="1007" ht="22" customHeight="1">
      <x:c r="A1007" s="8" t="n">
        <x:v>398</x:v>
      </x:c>
      <x:c r="B1007" s="6" t="n">
        <x:v>45237</x:v>
      </x:c>
      <x:c r="C1007" s="2" t="str">
        <x:v>Одежда</x:v>
      </x:c>
      <x:c r="D1007" s="2" t="str">
        <x:v>Футболка</x:v>
      </x:c>
      <x:c r="E1007" s="7" t="n">
        <x:v>57315.42</x:v>
      </x:c>
      <x:c r="F1007" s="9" t="n">
        <x:v>2</x:v>
      </x:c>
      <x:c r="G1007" s="2" t="str">
        <x:v>Московская область</x:v>
      </x:c>
      <x:c r="H1007" s="7" t="n">
        <x:f>E1007*F1007</x:f>
        <x:v>114630.84</x:v>
      </x:c>
      <x:c r="I1007" s="2" t="str">
        <x:f>TEXT(B1007,"yyyy-mm")</x:f>
        <x:v>2023-11</x:v>
      </x:c>
      <x:c r="J1007" s="8" t="n">
        <x:f>COUNTIFS($H$2:$H$1201,"&gt;"&amp;H1007)+COUNTIFS($H$2:H1007,H1007)</x:f>
        <x:v>940</x:v>
      </x:c>
      <x:c r="K1007" s="1"/>
      <x:c r="L1007" s="1"/>
    </x:row>
    <x:row r="1008" ht="22" customHeight="1">
      <x:c r="A1008" s="8" t="n">
        <x:v>525</x:v>
      </x:c>
      <x:c r="B1008" s="6" t="n">
        <x:v>45237</x:v>
      </x:c>
      <x:c r="C1008" s="2" t="str">
        <x:v>Электроника</x:v>
      </x:c>
      <x:c r="D1008" s="2" t="str">
        <x:v>Ноутбук</x:v>
      </x:c>
      <x:c r="E1008" s="7" t="n">
        <x:v>105177.14</x:v>
      </x:c>
      <x:c r="F1008" s="9" t="n">
        <x:v>3</x:v>
      </x:c>
      <x:c r="G1008" s="2" t="str">
        <x:v>Москва</x:v>
      </x:c>
      <x:c r="H1008" s="7" t="n">
        <x:f>E1008*F1008</x:f>
        <x:v>315531.42</x:v>
      </x:c>
      <x:c r="I1008" s="2" t="str">
        <x:f>TEXT(B1008,"yyyy-mm")</x:f>
        <x:v>2023-11</x:v>
      </x:c>
      <x:c r="J1008" s="8" t="n">
        <x:f>COUNTIFS($H$2:$H$1201,"&gt;"&amp;H1008)+COUNTIFS($H$2:H1008,H1008)</x:f>
        <x:v>619</x:v>
      </x:c>
      <x:c r="K1008" s="1"/>
      <x:c r="L1008" s="1"/>
    </x:row>
    <x:row r="1009" ht="22" customHeight="1">
      <x:c r="A1009" s="8" t="n">
        <x:v>587</x:v>
      </x:c>
      <x:c r="B1009" s="6" t="n">
        <x:v>45237</x:v>
      </x:c>
      <x:c r="C1009" s="2" t="str">
        <x:v>Товары для дома</x:v>
      </x:c>
      <x:c r="D1009" s="2" t="str">
        <x:v>Подушка</x:v>
      </x:c>
      <x:c r="E1009" s="7" t="n">
        <x:v>135062.09</x:v>
      </x:c>
      <x:c r="F1009" s="9" t="n">
        <x:v>4</x:v>
      </x:c>
      <x:c r="G1009" s="2" t="str">
        <x:v>Москва</x:v>
      </x:c>
      <x:c r="H1009" s="7" t="n">
        <x:f>E1009*F1009</x:f>
        <x:v>540248.36</x:v>
      </x:c>
      <x:c r="I1009" s="2" t="str">
        <x:f>TEXT(B1009,"yyyy-mm")</x:f>
        <x:v>2023-11</x:v>
      </x:c>
      <x:c r="J1009" s="8" t="n">
        <x:f>COUNTIFS($H$2:$H$1201,"&gt;"&amp;H1009)+COUNTIFS($H$2:H1009,H1009)</x:f>
        <x:v>376</x:v>
      </x:c>
      <x:c r="K1009" s="1"/>
      <x:c r="L1009" s="1"/>
    </x:row>
    <x:row r="1010" ht="22" customHeight="1">
      <x:c r="A1010" s="8" t="n">
        <x:v>942</x:v>
      </x:c>
      <x:c r="B1010" s="6" t="n">
        <x:v>45237</x:v>
      </x:c>
      <x:c r="C1010" s="2" t="str">
        <x:v>Одежда</x:v>
      </x:c>
      <x:c r="D1010" s="2" t="str">
        <x:v>Кроссовки</x:v>
      </x:c>
      <x:c r="E1010" s="7" t="n">
        <x:v>145751.73</x:v>
      </x:c>
      <x:c r="F1010" s="9" t="n">
        <x:v>3</x:v>
      </x:c>
      <x:c r="G1010" s="2" t="str">
        <x:v>Екатеринбург</x:v>
      </x:c>
      <x:c r="H1010" s="7" t="n">
        <x:f>E1010*F1010</x:f>
        <x:v>437255.19000000006</x:v>
      </x:c>
      <x:c r="I1010" s="2" t="str">
        <x:f>TEXT(B1010,"yyyy-mm")</x:f>
        <x:v>2023-11</x:v>
      </x:c>
      <x:c r="J1010" s="8" t="n">
        <x:f>COUNTIFS($H$2:$H$1201,"&gt;"&amp;H1010)+COUNTIFS($H$2:H1010,H1010)</x:f>
        <x:v>474</x:v>
      </x:c>
      <x:c r="K1010" s="1"/>
      <x:c r="L1010" s="1"/>
    </x:row>
    <x:row r="1011" ht="22" customHeight="1">
      <x:c r="A1011" s="8" t="n">
        <x:v>1018</x:v>
      </x:c>
      <x:c r="B1011" s="6" t="n">
        <x:v>45237</x:v>
      </x:c>
      <x:c r="C1011" s="2" t="str">
        <x:v>Продукты</x:v>
      </x:c>
      <x:c r="D1011" s="2" t="str">
        <x:v>Кофе</x:v>
      </x:c>
      <x:c r="E1011" s="7" t="n">
        <x:v>114614.53</x:v>
      </x:c>
      <x:c r="F1011" s="9" t="n">
        <x:v>7</x:v>
      </x:c>
      <x:c r="G1011" s="2" t="str">
        <x:v>Москва</x:v>
      </x:c>
      <x:c r="H1011" s="7" t="n">
        <x:f>E1011*F1011</x:f>
        <x:v>802301.71</x:v>
      </x:c>
      <x:c r="I1011" s="2" t="str">
        <x:f>TEXT(B1011,"yyyy-mm")</x:f>
        <x:v>2023-11</x:v>
      </x:c>
      <x:c r="J1011" s="8" t="n">
        <x:f>COUNTIFS($H$2:$H$1201,"&gt;"&amp;H1011)+COUNTIFS($H$2:H1011,H1011)</x:f>
        <x:v>196</x:v>
      </x:c>
      <x:c r="K1011" s="1"/>
      <x:c r="L1011" s="1"/>
    </x:row>
    <x:row r="1012" ht="22" customHeight="1">
      <x:c r="A1012" s="8" t="n">
        <x:v>1024</x:v>
      </x:c>
      <x:c r="B1012" s="6" t="n">
        <x:v>45237</x:v>
      </x:c>
      <x:c r="C1012" s="2" t="str">
        <x:v>Товары для дома</x:v>
      </x:c>
      <x:c r="D1012" s="2" t="str">
        <x:v>Полотенце</x:v>
      </x:c>
      <x:c r="E1012" s="7" t="n">
        <x:v>60077.67</x:v>
      </x:c>
      <x:c r="F1012" s="9" t="n">
        <x:v>2</x:v>
      </x:c>
      <x:c r="G1012" s="2" t="str">
        <x:v>Казань</x:v>
      </x:c>
      <x:c r="H1012" s="7" t="n">
        <x:f>E1012*F1012</x:f>
        <x:v>120155.34</x:v>
      </x:c>
      <x:c r="I1012" s="2" t="str">
        <x:f>TEXT(B1012,"yyyy-mm")</x:f>
        <x:v>2023-11</x:v>
      </x:c>
      <x:c r="J1012" s="8" t="n">
        <x:f>COUNTIFS($H$2:$H$1201,"&gt;"&amp;H1012)+COUNTIFS($H$2:H1012,H1012)</x:f>
        <x:v>925</x:v>
      </x:c>
      <x:c r="K1012" s="1"/>
      <x:c r="L1012" s="1"/>
    </x:row>
    <x:row r="1013" ht="22" customHeight="1">
      <x:c r="A1013" s="8" t="n">
        <x:v>479</x:v>
      </x:c>
      <x:c r="B1013" s="6" t="n">
        <x:v>45238</x:v>
      </x:c>
      <x:c r="C1013" s="2" t="str">
        <x:v>Одежда</x:v>
      </x:c>
      <x:c r="D1013" s="2" t="str">
        <x:v>Джинсы</x:v>
      </x:c>
      <x:c r="E1013" s="7" t="n">
        <x:v>82055.69</x:v>
      </x:c>
      <x:c r="F1013" s="9" t="n">
        <x:v>3</x:v>
      </x:c>
      <x:c r="G1013" s="2" t="str">
        <x:v>Московская область</x:v>
      </x:c>
      <x:c r="H1013" s="7" t="n">
        <x:f>E1013*F1013</x:f>
        <x:v>246167.07</x:v>
      </x:c>
      <x:c r="I1013" s="2" t="str">
        <x:f>TEXT(B1013,"yyyy-mm")</x:f>
        <x:v>2023-11</x:v>
      </x:c>
      <x:c r="J1013" s="8" t="n">
        <x:f>COUNTIFS($H$2:$H$1201,"&gt;"&amp;H1013)+COUNTIFS($H$2:H1013,H1013)</x:f>
        <x:v>708</x:v>
      </x:c>
      <x:c r="K1013" s="1"/>
      <x:c r="L1013" s="1"/>
    </x:row>
    <x:row r="1014" ht="22" customHeight="1">
      <x:c r="A1014" s="8" t="n">
        <x:v>849</x:v>
      </x:c>
      <x:c r="B1014" s="6" t="n">
        <x:v>45238</x:v>
      </x:c>
      <x:c r="C1014" s="2" t="str">
        <x:v>Товары для дома</x:v>
      </x:c>
      <x:c r="D1014" s="2" t="str">
        <x:v>Плед</x:v>
      </x:c>
      <x:c r="E1014" s="7" t="n">
        <x:v>28003.09</x:v>
      </x:c>
      <x:c r="F1014" s="9" t="n">
        <x:v>7</x:v>
      </x:c>
      <x:c r="G1014" s="2" t="str">
        <x:v>Казань</x:v>
      </x:c>
      <x:c r="H1014" s="7" t="n">
        <x:f>E1014*F1014</x:f>
        <x:v>196021.63</x:v>
      </x:c>
      <x:c r="I1014" s="2" t="str">
        <x:f>TEXT(B1014,"yyyy-mm")</x:f>
        <x:v>2023-11</x:v>
      </x:c>
      <x:c r="J1014" s="8" t="n">
        <x:f>COUNTIFS($H$2:$H$1201,"&gt;"&amp;H1014)+COUNTIFS($H$2:H1014,H1014)</x:f>
        <x:v>791</x:v>
      </x:c>
      <x:c r="K1014" s="1"/>
      <x:c r="L1014" s="1"/>
    </x:row>
    <x:row r="1015" ht="22" customHeight="1">
      <x:c r="A1015" s="8" t="n">
        <x:v>904</x:v>
      </x:c>
      <x:c r="B1015" s="6" t="n">
        <x:v>45238</x:v>
      </x:c>
      <x:c r="C1015" s="2" t="str">
        <x:v>Продукты</x:v>
      </x:c>
      <x:c r="D1015" s="2" t="str">
        <x:v>Хлеб</x:v>
      </x:c>
      <x:c r="E1015" s="7" t="n">
        <x:v>90149.48</x:v>
      </x:c>
      <x:c r="F1015" s="9" t="n">
        <x:v>10</x:v>
      </x:c>
      <x:c r="G1015" s="2" t="str">
        <x:v>Москва</x:v>
      </x:c>
      <x:c r="H1015" s="7" t="n">
        <x:f>E1015*F1015</x:f>
        <x:v>901494.7999999999</x:v>
      </x:c>
      <x:c r="I1015" s="2" t="str">
        <x:f>TEXT(B1015,"yyyy-mm")</x:f>
        <x:v>2023-11</x:v>
      </x:c>
      <x:c r="J1015" s="8" t="n">
        <x:f>COUNTIFS($H$2:$H$1201,"&gt;"&amp;H1015)+COUNTIFS($H$2:H1015,H1015)</x:f>
        <x:v>135</x:v>
      </x:c>
      <x:c r="K1015" s="1"/>
      <x:c r="L1015" s="1"/>
    </x:row>
    <x:row r="1016" ht="22" customHeight="1">
      <x:c r="A1016" s="8" t="n">
        <x:v>1117</x:v>
      </x:c>
      <x:c r="B1016" s="6" t="n">
        <x:v>45238</x:v>
      </x:c>
      <x:c r="C1016" s="2" t="str">
        <x:v>Электроника</x:v>
      </x:c>
      <x:c r="D1016" s="2" t="str">
        <x:v>Планшет</x:v>
      </x:c>
      <x:c r="E1016" s="7" t="n">
        <x:v>143043.58</x:v>
      </x:c>
      <x:c r="F1016" s="9" t="n">
        <x:v>7</x:v>
      </x:c>
      <x:c r="G1016" s="2" t="str">
        <x:v>Москва</x:v>
      </x:c>
      <x:c r="H1016" s="7" t="n">
        <x:f>E1016*F1016</x:f>
        <x:v>1001305.0599999999</x:v>
      </x:c>
      <x:c r="I1016" s="2" t="str">
        <x:f>TEXT(B1016,"yyyy-mm")</x:f>
        <x:v>2023-11</x:v>
      </x:c>
      <x:c r="J1016" s="8" t="n">
        <x:f>COUNTIFS($H$2:$H$1201,"&gt;"&amp;H1016)+COUNTIFS($H$2:H1016,H1016)</x:f>
        <x:v>88</x:v>
      </x:c>
      <x:c r="K1016" s="1"/>
      <x:c r="L1016" s="1"/>
    </x:row>
    <x:row r="1017" ht="22" customHeight="1">
      <x:c r="A1017" s="8" t="n">
        <x:v>262</x:v>
      </x:c>
      <x:c r="B1017" s="6" t="n">
        <x:v>45239</x:v>
      </x:c>
      <x:c r="C1017" s="2" t="str">
        <x:v>Электроника</x:v>
      </x:c>
      <x:c r="D1017" s="2" t="str">
        <x:v>Ноутбук</x:v>
      </x:c>
      <x:c r="E1017" s="7" t="n">
        <x:v>47881.89</x:v>
      </x:c>
      <x:c r="F1017" s="9" t="n">
        <x:v>1</x:v>
      </x:c>
      <x:c r="G1017" s="2" t="str">
        <x:v>Санкт‑Петербург</x:v>
      </x:c>
      <x:c r="H1017" s="7" t="n">
        <x:f>E1017*F1017</x:f>
        <x:v>47881.89</x:v>
      </x:c>
      <x:c r="I1017" s="2" t="str">
        <x:f>TEXT(B1017,"yyyy-mm")</x:f>
        <x:v>2023-11</x:v>
      </x:c>
      <x:c r="J1017" s="8" t="n">
        <x:f>COUNTIFS($H$2:$H$1201,"&gt;"&amp;H1017)+COUNTIFS($H$2:H1017,H1017)</x:f>
        <x:v>1091</x:v>
      </x:c>
      <x:c r="K1017" s="1"/>
      <x:c r="L1017" s="1"/>
    </x:row>
    <x:row r="1018" ht="22" customHeight="1">
      <x:c r="A1018" s="8" t="n">
        <x:v>1184</x:v>
      </x:c>
      <x:c r="B1018" s="6" t="n">
        <x:v>45239</x:v>
      </x:c>
      <x:c r="C1018" s="2" t="str">
        <x:v>Одежда</x:v>
      </x:c>
      <x:c r="D1018" s="2" t="str">
        <x:v>Футболка</x:v>
      </x:c>
      <x:c r="E1018" s="7" t="n">
        <x:v>18376.14</x:v>
      </x:c>
      <x:c r="F1018" s="9" t="n">
        <x:v>8</x:v>
      </x:c>
      <x:c r="G1018" s="2" t="str">
        <x:v>Екатеринбург</x:v>
      </x:c>
      <x:c r="H1018" s="7" t="n">
        <x:f>E1018*F1018</x:f>
        <x:v>147009.12</x:v>
      </x:c>
      <x:c r="I1018" s="2" t="str">
        <x:f>TEXT(B1018,"yyyy-mm")</x:f>
        <x:v>2023-11</x:v>
      </x:c>
      <x:c r="J1018" s="8" t="n">
        <x:f>COUNTIFS($H$2:$H$1201,"&gt;"&amp;H1018)+COUNTIFS($H$2:H1018,H1018)</x:f>
        <x:v>861</x:v>
      </x:c>
      <x:c r="K1018" s="1"/>
      <x:c r="L1018" s="1"/>
    </x:row>
    <x:row r="1019" ht="22" customHeight="1">
      <x:c r="A1019" s="8" t="n">
        <x:v>361</x:v>
      </x:c>
      <x:c r="B1019" s="6" t="n">
        <x:v>45240</x:v>
      </x:c>
      <x:c r="C1019" s="2" t="str">
        <x:v>Одежда</x:v>
      </x:c>
      <x:c r="D1019" s="2" t="str">
        <x:v>Футболка</x:v>
      </x:c>
      <x:c r="E1019" s="7" t="n">
        <x:v>75118.76</x:v>
      </x:c>
      <x:c r="F1019" s="9" t="n">
        <x:v>7</x:v>
      </x:c>
      <x:c r="G1019" s="2" t="str">
        <x:v>Московская область</x:v>
      </x:c>
      <x:c r="H1019" s="7" t="n">
        <x:f>E1019*F1019</x:f>
        <x:v>525831.32</x:v>
      </x:c>
      <x:c r="I1019" s="2" t="str">
        <x:f>TEXT(B1019,"yyyy-mm")</x:f>
        <x:v>2023-11</x:v>
      </x:c>
      <x:c r="J1019" s="8" t="n">
        <x:f>COUNTIFS($H$2:$H$1201,"&gt;"&amp;H1019)+COUNTIFS($H$2:H1019,H1019)</x:f>
        <x:v>389</x:v>
      </x:c>
      <x:c r="K1019" s="1"/>
      <x:c r="L1019" s="1"/>
    </x:row>
    <x:row r="1020" ht="22" customHeight="1">
      <x:c r="A1020" s="8" t="n">
        <x:v>848</x:v>
      </x:c>
      <x:c r="B1020" s="6" t="n">
        <x:v>45240</x:v>
      </x:c>
      <x:c r="C1020" s="2" t="str">
        <x:v>Одежда</x:v>
      </x:c>
      <x:c r="D1020" s="2" t="str">
        <x:v>Джинсы</x:v>
      </x:c>
      <x:c r="E1020" s="7" t="n">
        <x:v>86561.39</x:v>
      </x:c>
      <x:c r="F1020" s="9" t="n">
        <x:v>8</x:v>
      </x:c>
      <x:c r="G1020" s="2" t="str">
        <x:v>Санкт‑Петербург</x:v>
      </x:c>
      <x:c r="H1020" s="7" t="n">
        <x:f>E1020*F1020</x:f>
        <x:v>692491.12</x:v>
      </x:c>
      <x:c r="I1020" s="2" t="str">
        <x:f>TEXT(B1020,"yyyy-mm")</x:f>
        <x:v>2023-11</x:v>
      </x:c>
      <x:c r="J1020" s="8" t="n">
        <x:f>COUNTIFS($H$2:$H$1201,"&gt;"&amp;H1020)+COUNTIFS($H$2:H1020,H1020)</x:f>
        <x:v>268</x:v>
      </x:c>
      <x:c r="K1020" s="1"/>
      <x:c r="L1020" s="1"/>
    </x:row>
    <x:row r="1021" ht="22" customHeight="1">
      <x:c r="A1021" s="8" t="n">
        <x:v>228</x:v>
      </x:c>
      <x:c r="B1021" s="6" t="n">
        <x:v>45241</x:v>
      </x:c>
      <x:c r="C1021" s="2" t="str">
        <x:v>Продукты</x:v>
      </x:c>
      <x:c r="D1021" s="2" t="str">
        <x:v>Шоколад</x:v>
      </x:c>
      <x:c r="E1021" s="7" t="n">
        <x:v>2847.76</x:v>
      </x:c>
      <x:c r="F1021" s="9" t="n">
        <x:v>6</x:v>
      </x:c>
      <x:c r="G1021" s="2" t="str">
        <x:v>Санкт‑Петербург</x:v>
      </x:c>
      <x:c r="H1021" s="7" t="n">
        <x:f>E1021*F1021</x:f>
        <x:v>17086.56</x:v>
      </x:c>
      <x:c r="I1021" s="2" t="str">
        <x:f>TEXT(B1021,"yyyy-mm")</x:f>
        <x:v>2023-11</x:v>
      </x:c>
      <x:c r="J1021" s="8" t="n">
        <x:f>COUNTIFS($H$2:$H$1201,"&gt;"&amp;H1021)+COUNTIFS($H$2:H1021,H1021)</x:f>
        <x:v>1161</x:v>
      </x:c>
      <x:c r="K1021" s="1"/>
      <x:c r="L1021" s="1"/>
    </x:row>
    <x:row r="1022" ht="22" customHeight="1">
      <x:c r="A1022" s="8" t="n">
        <x:v>702</x:v>
      </x:c>
      <x:c r="B1022" s="6" t="n">
        <x:v>45241</x:v>
      </x:c>
      <x:c r="C1022" s="2" t="str">
        <x:v>Товары для дома</x:v>
      </x:c>
      <x:c r="D1022" s="2" t="str">
        <x:v>Полотенце</x:v>
      </x:c>
      <x:c r="E1022" s="7" t="n">
        <x:v>71891.66</x:v>
      </x:c>
      <x:c r="F1022" s="9" t="n">
        <x:v>2</x:v>
      </x:c>
      <x:c r="G1022" s="2" t="str">
        <x:v>Москва</x:v>
      </x:c>
      <x:c r="H1022" s="7" t="n">
        <x:f>E1022*F1022</x:f>
        <x:v>143783.32</x:v>
      </x:c>
      <x:c r="I1022" s="2" t="str">
        <x:f>TEXT(B1022,"yyyy-mm")</x:f>
        <x:v>2023-11</x:v>
      </x:c>
      <x:c r="J1022" s="8" t="n">
        <x:f>COUNTIFS($H$2:$H$1201,"&gt;"&amp;H1022)+COUNTIFS($H$2:H1022,H1022)</x:f>
        <x:v>868</x:v>
      </x:c>
      <x:c r="K1022" s="1"/>
      <x:c r="L1022" s="1"/>
    </x:row>
    <x:row r="1023" ht="22" customHeight="1">
      <x:c r="A1023" s="8" t="n">
        <x:v>79</x:v>
      </x:c>
      <x:c r="B1023" s="6" t="n">
        <x:v>45242</x:v>
      </x:c>
      <x:c r="C1023" s="2" t="str">
        <x:v>Электроника</x:v>
      </x:c>
      <x:c r="D1023" s="2" t="str">
        <x:v>Смартфон</x:v>
      </x:c>
      <x:c r="E1023" s="7" t="n">
        <x:v>29193.14</x:v>
      </x:c>
      <x:c r="F1023" s="9" t="n">
        <x:v>8</x:v>
      </x:c>
      <x:c r="G1023" s="2" t="str">
        <x:v>Санкт‑Петербург</x:v>
      </x:c>
      <x:c r="H1023" s="7" t="n">
        <x:f>E1023*F1023</x:f>
        <x:v>233545.12</x:v>
      </x:c>
      <x:c r="I1023" s="2" t="str">
        <x:f>TEXT(B1023,"yyyy-mm")</x:f>
        <x:v>2023-11</x:v>
      </x:c>
      <x:c r="J1023" s="8" t="n">
        <x:f>COUNTIFS($H$2:$H$1201,"&gt;"&amp;H1023)+COUNTIFS($H$2:H1023,H1023)</x:f>
        <x:v>735</x:v>
      </x:c>
      <x:c r="K1023" s="1"/>
      <x:c r="L1023" s="1"/>
    </x:row>
    <x:row r="1024" ht="22" customHeight="1">
      <x:c r="A1024" s="8" t="n">
        <x:v>1008</x:v>
      </x:c>
      <x:c r="B1024" s="6" t="n">
        <x:v>45242</x:v>
      </x:c>
      <x:c r="C1024" s="2" t="str">
        <x:v>Товары для дома</x:v>
      </x:c>
      <x:c r="D1024" s="2" t="str">
        <x:v>Полотенце</x:v>
      </x:c>
      <x:c r="E1024" s="7" t="n">
        <x:v>125467.53</x:v>
      </x:c>
      <x:c r="F1024" s="9" t="n">
        <x:v>1</x:v>
      </x:c>
      <x:c r="G1024" s="2" t="str">
        <x:v>Казань</x:v>
      </x:c>
      <x:c r="H1024" s="7" t="n">
        <x:f>E1024*F1024</x:f>
        <x:v>125467.53</x:v>
      </x:c>
      <x:c r="I1024" s="2" t="str">
        <x:f>TEXT(B1024,"yyyy-mm")</x:f>
        <x:v>2023-11</x:v>
      </x:c>
      <x:c r="J1024" s="8" t="n">
        <x:f>COUNTIFS($H$2:$H$1201,"&gt;"&amp;H1024)+COUNTIFS($H$2:H1024,H1024)</x:f>
        <x:v>914</x:v>
      </x:c>
      <x:c r="K1024" s="1"/>
      <x:c r="L1024" s="1"/>
    </x:row>
    <x:row r="1025" ht="22" customHeight="1">
      <x:c r="A1025" s="8" t="n">
        <x:v>1056</x:v>
      </x:c>
      <x:c r="B1025" s="6" t="n">
        <x:v>45242</x:v>
      </x:c>
      <x:c r="C1025" s="2" t="str">
        <x:v>Товары для дома</x:v>
      </x:c>
      <x:c r="D1025" s="2" t="str">
        <x:v>Плед</x:v>
      </x:c>
      <x:c r="E1025" s="7" t="n">
        <x:v>125262.96</x:v>
      </x:c>
      <x:c r="F1025" s="9" t="n">
        <x:v>6</x:v>
      </x:c>
      <x:c r="G1025" s="2" t="str">
        <x:v>Новосибирск</x:v>
      </x:c>
      <x:c r="H1025" s="7" t="n">
        <x:f>E1025*F1025</x:f>
        <x:v>751577.76</x:v>
      </x:c>
      <x:c r="I1025" s="2" t="str">
        <x:f>TEXT(B1025,"yyyy-mm")</x:f>
        <x:v>2023-11</x:v>
      </x:c>
      <x:c r="J1025" s="8" t="n">
        <x:f>COUNTIFS($H$2:$H$1201,"&gt;"&amp;H1025)+COUNTIFS($H$2:H1025,H1025)</x:f>
        <x:v>228</x:v>
      </x:c>
      <x:c r="K1025" s="1"/>
      <x:c r="L1025" s="1"/>
    </x:row>
    <x:row r="1026" ht="22" customHeight="1">
      <x:c r="A1026" s="8" t="n">
        <x:v>611</x:v>
      </x:c>
      <x:c r="B1026" s="6" t="n">
        <x:v>45243</x:v>
      </x:c>
      <x:c r="C1026" s="2" t="str">
        <x:v>Товары для дома</x:v>
      </x:c>
      <x:c r="D1026" s="2" t="str">
        <x:v>Кружка</x:v>
      </x:c>
      <x:c r="E1026" s="7" t="n">
        <x:v>132008.41</x:v>
      </x:c>
      <x:c r="F1026" s="9" t="n">
        <x:v>9</x:v>
      </x:c>
      <x:c r="G1026" s="2" t="str">
        <x:v>Московская область</x:v>
      </x:c>
      <x:c r="H1026" s="7" t="n">
        <x:f>E1026*F1026</x:f>
        <x:v>1188075.69</x:v>
      </x:c>
      <x:c r="I1026" s="2" t="str">
        <x:f>TEXT(B1026,"yyyy-mm")</x:f>
        <x:v>2023-11</x:v>
      </x:c>
      <x:c r="J1026" s="8" t="n">
        <x:f>COUNTIFS($H$2:$H$1201,"&gt;"&amp;H1026)+COUNTIFS($H$2:H1026,H1026)</x:f>
        <x:v>36</x:v>
      </x:c>
      <x:c r="K1026" s="1"/>
      <x:c r="L1026" s="1"/>
    </x:row>
    <x:row r="1027" ht="22" customHeight="1">
      <x:c r="A1027" s="8" t="n">
        <x:v>831</x:v>
      </x:c>
      <x:c r="B1027" s="6" t="n">
        <x:v>45243</x:v>
      </x:c>
      <x:c r="C1027" s="2" t="str">
        <x:v>Электроника</x:v>
      </x:c>
      <x:c r="D1027" s="2" t="str">
        <x:v>Планшет</x:v>
      </x:c>
      <x:c r="E1027" s="7" t="n">
        <x:v>39650.98</x:v>
      </x:c>
      <x:c r="F1027" s="9" t="n">
        <x:v>10</x:v>
      </x:c>
      <x:c r="G1027" s="2" t="str">
        <x:v>Екатеринбург</x:v>
      </x:c>
      <x:c r="H1027" s="7" t="n">
        <x:f>E1027*F1027</x:f>
        <x:v>396509.80000000005</x:v>
      </x:c>
      <x:c r="I1027" s="2" t="str">
        <x:f>TEXT(B1027,"yyyy-mm")</x:f>
        <x:v>2023-11</x:v>
      </x:c>
      <x:c r="J1027" s="8" t="n">
        <x:f>COUNTIFS($H$2:$H$1201,"&gt;"&amp;H1027)+COUNTIFS($H$2:H1027,H1027)</x:f>
        <x:v>524</x:v>
      </x:c>
      <x:c r="K1027" s="1"/>
      <x:c r="L1027" s="1"/>
    </x:row>
    <x:row r="1028" ht="22" customHeight="1">
      <x:c r="A1028" s="8" t="n">
        <x:v>364</x:v>
      </x:c>
      <x:c r="B1028" s="6" t="n">
        <x:v>45244</x:v>
      </x:c>
      <x:c r="C1028" s="2" t="str">
        <x:v>Одежда</x:v>
      </x:c>
      <x:c r="D1028" s="2" t="str">
        <x:v>Кроссовки</x:v>
      </x:c>
      <x:c r="E1028" s="7" t="n">
        <x:v>113339.67</x:v>
      </x:c>
      <x:c r="F1028" s="9" t="n">
        <x:v>6</x:v>
      </x:c>
      <x:c r="G1028" s="2" t="str">
        <x:v>Новосибирск</x:v>
      </x:c>
      <x:c r="H1028" s="7" t="n">
        <x:f>E1028*F1028</x:f>
        <x:v>680038.02</x:v>
      </x:c>
      <x:c r="I1028" s="2" t="str">
        <x:f>TEXT(B1028,"yyyy-mm")</x:f>
        <x:v>2023-11</x:v>
      </x:c>
      <x:c r="J1028" s="8" t="n">
        <x:f>COUNTIFS($H$2:$H$1201,"&gt;"&amp;H1028)+COUNTIFS($H$2:H1028,H1028)</x:f>
        <x:v>279</x:v>
      </x:c>
      <x:c r="K1028" s="1"/>
      <x:c r="L1028" s="1"/>
    </x:row>
    <x:row r="1029" ht="22" customHeight="1">
      <x:c r="A1029" s="8" t="n">
        <x:v>527</x:v>
      </x:c>
      <x:c r="B1029" s="6" t="n">
        <x:v>45244</x:v>
      </x:c>
      <x:c r="C1029" s="2" t="str">
        <x:v>Одежда</x:v>
      </x:c>
      <x:c r="D1029" s="2" t="str">
        <x:v>Футболка</x:v>
      </x:c>
      <x:c r="E1029" s="7" t="n">
        <x:v>135175.62</x:v>
      </x:c>
      <x:c r="F1029" s="9" t="n">
        <x:v>3</x:v>
      </x:c>
      <x:c r="G1029" s="2" t="str">
        <x:v>Екатеринбург</x:v>
      </x:c>
      <x:c r="H1029" s="7" t="n">
        <x:f>E1029*F1029</x:f>
        <x:v>405526.86</x:v>
      </x:c>
      <x:c r="I1029" s="2" t="str">
        <x:f>TEXT(B1029,"yyyy-mm")</x:f>
        <x:v>2023-11</x:v>
      </x:c>
      <x:c r="J1029" s="8" t="n">
        <x:f>COUNTIFS($H$2:$H$1201,"&gt;"&amp;H1029)+COUNTIFS($H$2:H1029,H1029)</x:f>
        <x:v>510</x:v>
      </x:c>
      <x:c r="K1029" s="1"/>
      <x:c r="L1029" s="1"/>
    </x:row>
    <x:row r="1030" ht="22" customHeight="1">
      <x:c r="A1030" s="8" t="n">
        <x:v>664</x:v>
      </x:c>
      <x:c r="B1030" s="6" t="n">
        <x:v>45244</x:v>
      </x:c>
      <x:c r="C1030" s="2" t="str">
        <x:v>Одежда</x:v>
      </x:c>
      <x:c r="D1030" s="2" t="str">
        <x:v>Кроссовки</x:v>
      </x:c>
      <x:c r="E1030" s="7" t="n">
        <x:v>140104.75</x:v>
      </x:c>
      <x:c r="F1030" s="9" t="n">
        <x:v>2</x:v>
      </x:c>
      <x:c r="G1030" s="2" t="str">
        <x:v>Казань</x:v>
      </x:c>
      <x:c r="H1030" s="7" t="n">
        <x:f>E1030*F1030</x:f>
        <x:v>280209.5</x:v>
      </x:c>
      <x:c r="I1030" s="2" t="str">
        <x:f>TEXT(B1030,"yyyy-mm")</x:f>
        <x:v>2023-11</x:v>
      </x:c>
      <x:c r="J1030" s="8" t="n">
        <x:f>COUNTIFS($H$2:$H$1201,"&gt;"&amp;H1030)+COUNTIFS($H$2:H1030,H1030)</x:f>
        <x:v>657</x:v>
      </x:c>
      <x:c r="K1030" s="1"/>
      <x:c r="L1030" s="1"/>
    </x:row>
    <x:row r="1031" ht="22" customHeight="1">
      <x:c r="A1031" s="8" t="n">
        <x:v>675</x:v>
      </x:c>
      <x:c r="B1031" s="6" t="n">
        <x:v>45244</x:v>
      </x:c>
      <x:c r="C1031" s="2" t="str">
        <x:v>Товары для дома</x:v>
      </x:c>
      <x:c r="D1031" s="2" t="str">
        <x:v>Плед</x:v>
      </x:c>
      <x:c r="E1031" s="7" t="n">
        <x:v>91928.51</x:v>
      </x:c>
      <x:c r="F1031" s="9" t="n">
        <x:v>5</x:v>
      </x:c>
      <x:c r="G1031" s="2" t="str">
        <x:v>Новосибирск</x:v>
      </x:c>
      <x:c r="H1031" s="7" t="n">
        <x:f>E1031*F1031</x:f>
        <x:v>459642.55</x:v>
      </x:c>
      <x:c r="I1031" s="2" t="str">
        <x:f>TEXT(B1031,"yyyy-mm")</x:f>
        <x:v>2023-11</x:v>
      </x:c>
      <x:c r="J1031" s="8" t="n">
        <x:f>COUNTIFS($H$2:$H$1201,"&gt;"&amp;H1031)+COUNTIFS($H$2:H1031,H1031)</x:f>
        <x:v>442</x:v>
      </x:c>
      <x:c r="K1031" s="1"/>
      <x:c r="L1031" s="1"/>
    </x:row>
    <x:row r="1032" ht="22" customHeight="1">
      <x:c r="A1032" s="8" t="n">
        <x:v>689</x:v>
      </x:c>
      <x:c r="B1032" s="6" t="n">
        <x:v>45244</x:v>
      </x:c>
      <x:c r="C1032" s="2" t="str">
        <x:v>Продукты</x:v>
      </x:c>
      <x:c r="D1032" s="2" t="str">
        <x:v>Хлеб</x:v>
      </x:c>
      <x:c r="E1032" s="7" t="n">
        <x:v>56031.8</x:v>
      </x:c>
      <x:c r="F1032" s="9" t="n">
        <x:v>9</x:v>
      </x:c>
      <x:c r="G1032" s="2" t="str">
        <x:v>Казань</x:v>
      </x:c>
      <x:c r="H1032" s="7" t="n">
        <x:f>E1032*F1032</x:f>
        <x:v>504286.2</x:v>
      </x:c>
      <x:c r="I1032" s="2" t="str">
        <x:f>TEXT(B1032,"yyyy-mm")</x:f>
        <x:v>2023-11</x:v>
      </x:c>
      <x:c r="J1032" s="8" t="n">
        <x:f>COUNTIFS($H$2:$H$1201,"&gt;"&amp;H1032)+COUNTIFS($H$2:H1032,H1032)</x:f>
        <x:v>407</x:v>
      </x:c>
      <x:c r="K1032" s="1"/>
      <x:c r="L1032" s="1"/>
    </x:row>
    <x:row r="1033" ht="22" customHeight="1">
      <x:c r="A1033" s="8" t="n">
        <x:v>1014</x:v>
      </x:c>
      <x:c r="B1033" s="6" t="n">
        <x:v>45244</x:v>
      </x:c>
      <x:c r="C1033" s="2" t="str">
        <x:v>Товары для дома</x:v>
      </x:c>
      <x:c r="D1033" s="2" t="str">
        <x:v>Полотенце</x:v>
      </x:c>
      <x:c r="E1033" s="7" t="n">
        <x:v>147411.78</x:v>
      </x:c>
      <x:c r="F1033" s="9" t="n">
        <x:v>2</x:v>
      </x:c>
      <x:c r="G1033" s="2" t="str">
        <x:v>Новосибирск</x:v>
      </x:c>
      <x:c r="H1033" s="7" t="n">
        <x:f>E1033*F1033</x:f>
        <x:v>294823.56</x:v>
      </x:c>
      <x:c r="I1033" s="2" t="str">
        <x:f>TEXT(B1033,"yyyy-mm")</x:f>
        <x:v>2023-11</x:v>
      </x:c>
      <x:c r="J1033" s="8" t="n">
        <x:f>COUNTIFS($H$2:$H$1201,"&gt;"&amp;H1033)+COUNTIFS($H$2:H1033,H1033)</x:f>
        <x:v>639</x:v>
      </x:c>
      <x:c r="K1033" s="1"/>
      <x:c r="L1033" s="1"/>
    </x:row>
    <x:row r="1034" ht="22" customHeight="1">
      <x:c r="A1034" s="8" t="n">
        <x:v>629</x:v>
      </x:c>
      <x:c r="B1034" s="6" t="n">
        <x:v>45245</x:v>
      </x:c>
      <x:c r="C1034" s="2" t="str">
        <x:v>Товары для дома</x:v>
      </x:c>
      <x:c r="D1034" s="2" t="str">
        <x:v>Подушка</x:v>
      </x:c>
      <x:c r="E1034" s="7" t="n">
        <x:v>2898.91</x:v>
      </x:c>
      <x:c r="F1034" s="9" t="n">
        <x:v>6</x:v>
      </x:c>
      <x:c r="G1034" s="2" t="str">
        <x:v>Московская область</x:v>
      </x:c>
      <x:c r="H1034" s="7" t="n">
        <x:f>E1034*F1034</x:f>
        <x:v>17393.46</x:v>
      </x:c>
      <x:c r="I1034" s="2" t="str">
        <x:f>TEXT(B1034,"yyyy-mm")</x:f>
        <x:v>2023-11</x:v>
      </x:c>
      <x:c r="J1034" s="8" t="n">
        <x:f>COUNTIFS($H$2:$H$1201,"&gt;"&amp;H1034)+COUNTIFS($H$2:H1034,H1034)</x:f>
        <x:v>1160</x:v>
      </x:c>
      <x:c r="K1034" s="1"/>
      <x:c r="L1034" s="1"/>
    </x:row>
    <x:row r="1035" ht="22" customHeight="1">
      <x:c r="A1035" s="8" t="n">
        <x:v>995</x:v>
      </x:c>
      <x:c r="B1035" s="6" t="n">
        <x:v>45245</x:v>
      </x:c>
      <x:c r="C1035" s="2" t="str">
        <x:v>Электроника</x:v>
      </x:c>
      <x:c r="D1035" s="2" t="str">
        <x:v>Наушники</x:v>
      </x:c>
      <x:c r="E1035" s="7" t="n">
        <x:v>127468.89</x:v>
      </x:c>
      <x:c r="F1035" s="9" t="n">
        <x:v>10</x:v>
      </x:c>
      <x:c r="G1035" s="2" t="str">
        <x:v>Московская область</x:v>
      </x:c>
      <x:c r="H1035" s="7" t="n">
        <x:f>E1035*F1035</x:f>
        <x:v>1274688.9</x:v>
      </x:c>
      <x:c r="I1035" s="2" t="str">
        <x:f>TEXT(B1035,"yyyy-mm")</x:f>
        <x:v>2023-11</x:v>
      </x:c>
      <x:c r="J1035" s="8" t="n">
        <x:f>COUNTIFS($H$2:$H$1201,"&gt;"&amp;H1035)+COUNTIFS($H$2:H1035,H1035)</x:f>
        <x:v>21</x:v>
      </x:c>
      <x:c r="K1035" s="1"/>
      <x:c r="L1035" s="1"/>
    </x:row>
    <x:row r="1036" ht="22" customHeight="1">
      <x:c r="A1036" s="8" t="n">
        <x:v>1011</x:v>
      </x:c>
      <x:c r="B1036" s="6" t="n">
        <x:v>45246</x:v>
      </x:c>
      <x:c r="C1036" s="2" t="str">
        <x:v>Электроника</x:v>
      </x:c>
      <x:c r="D1036" s="2" t="str">
        <x:v>Ноутбук</x:v>
      </x:c>
      <x:c r="E1036" s="7" t="n">
        <x:v>35581.97</x:v>
      </x:c>
      <x:c r="F1036" s="9" t="n">
        <x:v>2</x:v>
      </x:c>
      <x:c r="G1036" s="2" t="str">
        <x:v>Москва</x:v>
      </x:c>
      <x:c r="H1036" s="7" t="n">
        <x:f>E1036*F1036</x:f>
        <x:v>71163.94</x:v>
      </x:c>
      <x:c r="I1036" s="2" t="str">
        <x:f>TEXT(B1036,"yyyy-mm")</x:f>
        <x:v>2023-11</x:v>
      </x:c>
      <x:c r="J1036" s="8" t="n">
        <x:f>COUNTIFS($H$2:$H$1201,"&gt;"&amp;H1036)+COUNTIFS($H$2:H1036,H1036)</x:f>
        <x:v>1038</x:v>
      </x:c>
      <x:c r="K1036" s="1"/>
      <x:c r="L1036" s="1"/>
    </x:row>
    <x:row r="1037" ht="22" customHeight="1">
      <x:c r="A1037" s="8" t="n">
        <x:v>82</x:v>
      </x:c>
      <x:c r="B1037" s="6" t="n">
        <x:v>45247</x:v>
      </x:c>
      <x:c r="C1037" s="2" t="str">
        <x:v>Продукты</x:v>
      </x:c>
      <x:c r="D1037" s="2" t="str">
        <x:v>Молоко</x:v>
      </x:c>
      <x:c r="E1037" s="7" t="n">
        <x:v>85731.29</x:v>
      </x:c>
      <x:c r="F1037" s="9" t="n">
        <x:v>6</x:v>
      </x:c>
      <x:c r="G1037" s="2" t="str">
        <x:v>Екатеринбург</x:v>
      </x:c>
      <x:c r="H1037" s="7" t="n">
        <x:f>E1037*F1037</x:f>
        <x:v>514387.74</x:v>
      </x:c>
      <x:c r="I1037" s="2" t="str">
        <x:f>TEXT(B1037,"yyyy-mm")</x:f>
        <x:v>2023-11</x:v>
      </x:c>
      <x:c r="J1037" s="8" t="n">
        <x:f>COUNTIFS($H$2:$H$1201,"&gt;"&amp;H1037)+COUNTIFS($H$2:H1037,H1037)</x:f>
        <x:v>396</x:v>
      </x:c>
      <x:c r="K1037" s="1"/>
      <x:c r="L1037" s="1"/>
    </x:row>
    <x:row r="1038" ht="22" customHeight="1">
      <x:c r="A1038" s="8" t="n">
        <x:v>589</x:v>
      </x:c>
      <x:c r="B1038" s="6" t="n">
        <x:v>45247</x:v>
      </x:c>
      <x:c r="C1038" s="2" t="str">
        <x:v>Продукты</x:v>
      </x:c>
      <x:c r="D1038" s="2" t="str">
        <x:v>Молоко</x:v>
      </x:c>
      <x:c r="E1038" s="7" t="n">
        <x:v>122923.55</x:v>
      </x:c>
      <x:c r="F1038" s="9" t="n">
        <x:v>2</x:v>
      </x:c>
      <x:c r="G1038" s="2" t="str">
        <x:v>Казань</x:v>
      </x:c>
      <x:c r="H1038" s="7" t="n">
        <x:f>E1038*F1038</x:f>
        <x:v>245847.1</x:v>
      </x:c>
      <x:c r="I1038" s="2" t="str">
        <x:f>TEXT(B1038,"yyyy-mm")</x:f>
        <x:v>2023-11</x:v>
      </x:c>
      <x:c r="J1038" s="8" t="n">
        <x:f>COUNTIFS($H$2:$H$1201,"&gt;"&amp;H1038)+COUNTIFS($H$2:H1038,H1038)</x:f>
        <x:v>710</x:v>
      </x:c>
      <x:c r="K1038" s="1"/>
      <x:c r="L1038" s="1"/>
    </x:row>
    <x:row r="1039" ht="22" customHeight="1">
      <x:c r="A1039" s="8" t="n">
        <x:v>749</x:v>
      </x:c>
      <x:c r="B1039" s="6" t="n">
        <x:v>45247</x:v>
      </x:c>
      <x:c r="C1039" s="2" t="str">
        <x:v>Электроника</x:v>
      </x:c>
      <x:c r="D1039" s="2" t="str">
        <x:v>Смартфон</x:v>
      </x:c>
      <x:c r="E1039" s="7" t="n">
        <x:v>126723.09</x:v>
      </x:c>
      <x:c r="F1039" s="9" t="n">
        <x:v>5</x:v>
      </x:c>
      <x:c r="G1039" s="2" t="str">
        <x:v>Новосибирск</x:v>
      </x:c>
      <x:c r="H1039" s="7" t="n">
        <x:f>E1039*F1039</x:f>
        <x:v>633615.45</x:v>
      </x:c>
      <x:c r="I1039" s="2" t="str">
        <x:f>TEXT(B1039,"yyyy-mm")</x:f>
        <x:v>2023-11</x:v>
      </x:c>
      <x:c r="J1039" s="8" t="n">
        <x:f>COUNTIFS($H$2:$H$1201,"&gt;"&amp;H1039)+COUNTIFS($H$2:H1039,H1039)</x:f>
        <x:v>302</x:v>
      </x:c>
      <x:c r="K1039" s="1"/>
      <x:c r="L1039" s="1"/>
    </x:row>
    <x:row r="1040" ht="22" customHeight="1">
      <x:c r="A1040" s="8" t="n">
        <x:v>845</x:v>
      </x:c>
      <x:c r="B1040" s="6" t="n">
        <x:v>45247</x:v>
      </x:c>
      <x:c r="C1040" s="2" t="str">
        <x:v>Продукты</x:v>
      </x:c>
      <x:c r="D1040" s="2" t="str">
        <x:v>Молоко</x:v>
      </x:c>
      <x:c r="E1040" s="7" t="n">
        <x:v>49934.1</x:v>
      </x:c>
      <x:c r="F1040" s="9" t="n">
        <x:v>6</x:v>
      </x:c>
      <x:c r="G1040" s="2" t="str">
        <x:v>Казань</x:v>
      </x:c>
      <x:c r="H1040" s="7" t="n">
        <x:f>E1040*F1040</x:f>
        <x:v>299604.6</x:v>
      </x:c>
      <x:c r="I1040" s="2" t="str">
        <x:f>TEXT(B1040,"yyyy-mm")</x:f>
        <x:v>2023-11</x:v>
      </x:c>
      <x:c r="J1040" s="8" t="n">
        <x:f>COUNTIFS($H$2:$H$1201,"&gt;"&amp;H1040)+COUNTIFS($H$2:H1040,H1040)</x:f>
        <x:v>632</x:v>
      </x:c>
      <x:c r="K1040" s="1"/>
      <x:c r="L1040" s="1"/>
    </x:row>
    <x:row r="1041" ht="22" customHeight="1">
      <x:c r="A1041" s="8" t="n">
        <x:v>192</x:v>
      </x:c>
      <x:c r="B1041" s="6" t="n">
        <x:v>45248</x:v>
      </x:c>
      <x:c r="C1041" s="2" t="str">
        <x:v>Товары для дома</x:v>
      </x:c>
      <x:c r="D1041" s="2" t="str">
        <x:v>Полотенце</x:v>
      </x:c>
      <x:c r="E1041" s="7" t="n">
        <x:v>104139.34</x:v>
      </x:c>
      <x:c r="F1041" s="9" t="n">
        <x:v>3</x:v>
      </x:c>
      <x:c r="G1041" s="2" t="str">
        <x:v>Московская область</x:v>
      </x:c>
      <x:c r="H1041" s="7" t="n">
        <x:f>E1041*F1041</x:f>
        <x:v>312418.02</x:v>
      </x:c>
      <x:c r="I1041" s="2" t="str">
        <x:f>TEXT(B1041,"yyyy-mm")</x:f>
        <x:v>2023-11</x:v>
      </x:c>
      <x:c r="J1041" s="8" t="n">
        <x:f>COUNTIFS($H$2:$H$1201,"&gt;"&amp;H1041)+COUNTIFS($H$2:H1041,H1041)</x:f>
        <x:v>624</x:v>
      </x:c>
      <x:c r="K1041" s="1"/>
      <x:c r="L1041" s="1"/>
    </x:row>
    <x:row r="1042" ht="22" customHeight="1">
      <x:c r="A1042" s="8" t="n">
        <x:v>1049</x:v>
      </x:c>
      <x:c r="B1042" s="6" t="n">
        <x:v>45248</x:v>
      </x:c>
      <x:c r="C1042" s="2" t="str">
        <x:v>Продукты</x:v>
      </x:c>
      <x:c r="D1042" s="2" t="str">
        <x:v>Хлеб</x:v>
      </x:c>
      <x:c r="E1042" s="7" t="n">
        <x:v>56408.51</x:v>
      </x:c>
      <x:c r="F1042" s="9" t="n">
        <x:v>8</x:v>
      </x:c>
      <x:c r="G1042" s="2" t="str">
        <x:v>Екатеринбург</x:v>
      </x:c>
      <x:c r="H1042" s="7" t="n">
        <x:f>E1042*F1042</x:f>
        <x:v>451268.08</x:v>
      </x:c>
      <x:c r="I1042" s="2" t="str">
        <x:f>TEXT(B1042,"yyyy-mm")</x:f>
        <x:v>2023-11</x:v>
      </x:c>
      <x:c r="J1042" s="8" t="n">
        <x:f>COUNTIFS($H$2:$H$1201,"&gt;"&amp;H1042)+COUNTIFS($H$2:H1042,H1042)</x:f>
        <x:v>450</x:v>
      </x:c>
      <x:c r="K1042" s="1"/>
      <x:c r="L1042" s="1"/>
    </x:row>
    <x:row r="1043" ht="22" customHeight="1">
      <x:c r="A1043" s="8" t="n">
        <x:v>83</x:v>
      </x:c>
      <x:c r="B1043" s="6" t="n">
        <x:v>45249</x:v>
      </x:c>
      <x:c r="C1043" s="2" t="str">
        <x:v>Продукты</x:v>
      </x:c>
      <x:c r="D1043" s="2" t="str">
        <x:v>Молоко</x:v>
      </x:c>
      <x:c r="E1043" s="7" t="n">
        <x:v>147163.62</x:v>
      </x:c>
      <x:c r="F1043" s="9" t="n">
        <x:v>4</x:v>
      </x:c>
      <x:c r="G1043" s="2" t="str">
        <x:v>Московская область</x:v>
      </x:c>
      <x:c r="H1043" s="7" t="n">
        <x:f>E1043*F1043</x:f>
        <x:v>588654.48</x:v>
      </x:c>
      <x:c r="I1043" s="2" t="str">
        <x:f>TEXT(B1043,"yyyy-mm")</x:f>
        <x:v>2023-11</x:v>
      </x:c>
      <x:c r="J1043" s="8" t="n">
        <x:f>COUNTIFS($H$2:$H$1201,"&gt;"&amp;H1043)+COUNTIFS($H$2:H1043,H1043)</x:f>
        <x:v>329</x:v>
      </x:c>
      <x:c r="K1043" s="1"/>
      <x:c r="L1043" s="1"/>
    </x:row>
    <x:row r="1044" ht="22" customHeight="1">
      <x:c r="A1044" s="8" t="n">
        <x:v>183</x:v>
      </x:c>
      <x:c r="B1044" s="6" t="n">
        <x:v>45249</x:v>
      </x:c>
      <x:c r="C1044" s="2" t="str">
        <x:v>Товары для дома</x:v>
      </x:c>
      <x:c r="D1044" s="2" t="str">
        <x:v>Полотенце</x:v>
      </x:c>
      <x:c r="E1044" s="7" t="n">
        <x:v>34901.3</x:v>
      </x:c>
      <x:c r="F1044" s="9" t="n">
        <x:v>10</x:v>
      </x:c>
      <x:c r="G1044" s="2" t="str">
        <x:v>Казань</x:v>
      </x:c>
      <x:c r="H1044" s="7" t="n">
        <x:f>E1044*F1044</x:f>
        <x:v>349013</x:v>
      </x:c>
      <x:c r="I1044" s="2" t="str">
        <x:f>TEXT(B1044,"yyyy-mm")</x:f>
        <x:v>2023-11</x:v>
      </x:c>
      <x:c r="J1044" s="8" t="n">
        <x:f>COUNTIFS($H$2:$H$1201,"&gt;"&amp;H1044)+COUNTIFS($H$2:H1044,H1044)</x:f>
        <x:v>589</x:v>
      </x:c>
      <x:c r="K1044" s="1"/>
      <x:c r="L1044" s="1"/>
    </x:row>
    <x:row r="1045" ht="22" customHeight="1">
      <x:c r="A1045" s="8" t="n">
        <x:v>245</x:v>
      </x:c>
      <x:c r="B1045" s="6" t="n">
        <x:v>45249</x:v>
      </x:c>
      <x:c r="C1045" s="2" t="str">
        <x:v>Продукты</x:v>
      </x:c>
      <x:c r="D1045" s="2" t="str">
        <x:v>Кофе</x:v>
      </x:c>
      <x:c r="E1045" s="7" t="n">
        <x:v>113947.52</x:v>
      </x:c>
      <x:c r="F1045" s="9" t="n">
        <x:v>6</x:v>
      </x:c>
      <x:c r="G1045" s="2" t="str">
        <x:v>Московская область</x:v>
      </x:c>
      <x:c r="H1045" s="7" t="n">
        <x:f>E1045*F1045</x:f>
        <x:v>683685.12</x:v>
      </x:c>
      <x:c r="I1045" s="2" t="str">
        <x:f>TEXT(B1045,"yyyy-mm")</x:f>
        <x:v>2023-11</x:v>
      </x:c>
      <x:c r="J1045" s="8" t="n">
        <x:f>COUNTIFS($H$2:$H$1201,"&gt;"&amp;H1045)+COUNTIFS($H$2:H1045,H1045)</x:f>
        <x:v>277</x:v>
      </x:c>
      <x:c r="K1045" s="1"/>
      <x:c r="L1045" s="1"/>
    </x:row>
    <x:row r="1046" ht="22" customHeight="1">
      <x:c r="A1046" s="8" t="n">
        <x:v>308</x:v>
      </x:c>
      <x:c r="B1046" s="6" t="n">
        <x:v>45249</x:v>
      </x:c>
      <x:c r="C1046" s="2" t="str">
        <x:v>Продукты</x:v>
      </x:c>
      <x:c r="D1046" s="2" t="str">
        <x:v>Молоко</x:v>
      </x:c>
      <x:c r="E1046" s="7" t="n">
        <x:v>80267.53</x:v>
      </x:c>
      <x:c r="F1046" s="9" t="n">
        <x:v>3</x:v>
      </x:c>
      <x:c r="G1046" s="2" t="str">
        <x:v>Московская область</x:v>
      </x:c>
      <x:c r="H1046" s="7" t="n">
        <x:f>E1046*F1046</x:f>
        <x:v>240802.59</x:v>
      </x:c>
      <x:c r="I1046" s="2" t="str">
        <x:f>TEXT(B1046,"yyyy-mm")</x:f>
        <x:v>2023-11</x:v>
      </x:c>
      <x:c r="J1046" s="8" t="n">
        <x:f>COUNTIFS($H$2:$H$1201,"&gt;"&amp;H1046)+COUNTIFS($H$2:H1046,H1046)</x:f>
        <x:v>721</x:v>
      </x:c>
      <x:c r="K1046" s="1"/>
      <x:c r="L1046" s="1"/>
    </x:row>
    <x:row r="1047" ht="22" customHeight="1">
      <x:c r="A1047" s="8" t="n">
        <x:v>447</x:v>
      </x:c>
      <x:c r="B1047" s="6" t="n">
        <x:v>45249</x:v>
      </x:c>
      <x:c r="C1047" s="2" t="str">
        <x:v>Одежда</x:v>
      </x:c>
      <x:c r="D1047" s="2" t="str">
        <x:v>Футболка</x:v>
      </x:c>
      <x:c r="E1047" s="7" t="n">
        <x:v>74467.32</x:v>
      </x:c>
      <x:c r="F1047" s="9" t="n">
        <x:v>8</x:v>
      </x:c>
      <x:c r="G1047" s="2" t="str">
        <x:v>Санкт‑Петербург</x:v>
      </x:c>
      <x:c r="H1047" s="7" t="n">
        <x:f>E1047*F1047</x:f>
        <x:v>595738.56</x:v>
      </x:c>
      <x:c r="I1047" s="2" t="str">
        <x:f>TEXT(B1047,"yyyy-mm")</x:f>
        <x:v>2023-11</x:v>
      </x:c>
      <x:c r="J1047" s="8" t="n">
        <x:f>COUNTIFS($H$2:$H$1201,"&gt;"&amp;H1047)+COUNTIFS($H$2:H1047,H1047)</x:f>
        <x:v>321</x:v>
      </x:c>
      <x:c r="K1047" s="1"/>
      <x:c r="L1047" s="1"/>
    </x:row>
    <x:row r="1048" ht="22" customHeight="1">
      <x:c r="A1048" s="8" t="n">
        <x:v>466</x:v>
      </x:c>
      <x:c r="B1048" s="6" t="n">
        <x:v>45249</x:v>
      </x:c>
      <x:c r="C1048" s="2" t="str">
        <x:v>Одежда</x:v>
      </x:c>
      <x:c r="D1048" s="2" t="str">
        <x:v>Куртка</x:v>
      </x:c>
      <x:c r="E1048" s="7" t="n">
        <x:v>100076.16</x:v>
      </x:c>
      <x:c r="F1048" s="9" t="n">
        <x:v>5</x:v>
      </x:c>
      <x:c r="G1048" s="2" t="str">
        <x:v>Санкт‑Петербург</x:v>
      </x:c>
      <x:c r="H1048" s="7" t="n">
        <x:f>E1048*F1048</x:f>
        <x:v>500380.80000000005</x:v>
      </x:c>
      <x:c r="I1048" s="2" t="str">
        <x:f>TEXT(B1048,"yyyy-mm")</x:f>
        <x:v>2023-11</x:v>
      </x:c>
      <x:c r="J1048" s="8" t="n">
        <x:f>COUNTIFS($H$2:$H$1201,"&gt;"&amp;H1048)+COUNTIFS($H$2:H1048,H1048)</x:f>
        <x:v>409</x:v>
      </x:c>
      <x:c r="K1048" s="1"/>
      <x:c r="L1048" s="1"/>
    </x:row>
    <x:row r="1049" ht="22" customHeight="1">
      <x:c r="A1049" s="8" t="n">
        <x:v>937</x:v>
      </x:c>
      <x:c r="B1049" s="6" t="n">
        <x:v>45249</x:v>
      </x:c>
      <x:c r="C1049" s="2" t="str">
        <x:v>Электроника</x:v>
      </x:c>
      <x:c r="D1049" s="2" t="str">
        <x:v>Наушники</x:v>
      </x:c>
      <x:c r="E1049" s="7" t="n">
        <x:v>24745.48</x:v>
      </x:c>
      <x:c r="F1049" s="9" t="n">
        <x:v>3</x:v>
      </x:c>
      <x:c r="G1049" s="2" t="str">
        <x:v>Казань</x:v>
      </x:c>
      <x:c r="H1049" s="7" t="n">
        <x:f>E1049*F1049</x:f>
        <x:v>74236.44</x:v>
      </x:c>
      <x:c r="I1049" s="2" t="str">
        <x:f>TEXT(B1049,"yyyy-mm")</x:f>
        <x:v>2023-11</x:v>
      </x:c>
      <x:c r="J1049" s="8" t="n">
        <x:f>COUNTIFS($H$2:$H$1201,"&gt;"&amp;H1049)+COUNTIFS($H$2:H1049,H1049)</x:f>
        <x:v>1030</x:v>
      </x:c>
      <x:c r="K1049" s="1"/>
      <x:c r="L1049" s="1"/>
    </x:row>
    <x:row r="1050" ht="22" customHeight="1">
      <x:c r="A1050" s="8" t="n">
        <x:v>810</x:v>
      </x:c>
      <x:c r="B1050" s="6" t="n">
        <x:v>45250</x:v>
      </x:c>
      <x:c r="C1050" s="2" t="str">
        <x:v>Товары для дома</x:v>
      </x:c>
      <x:c r="D1050" s="2" t="str">
        <x:v>Плед</x:v>
      </x:c>
      <x:c r="E1050" s="7" t="n">
        <x:v>30436.19</x:v>
      </x:c>
      <x:c r="F1050" s="9" t="n">
        <x:v>1</x:v>
      </x:c>
      <x:c r="G1050" s="2" t="str">
        <x:v>Екатеринбург</x:v>
      </x:c>
      <x:c r="H1050" s="7" t="n">
        <x:f>E1050*F1050</x:f>
        <x:v>30436.19</x:v>
      </x:c>
      <x:c r="I1050" s="2" t="str">
        <x:f>TEXT(B1050,"yyyy-mm")</x:f>
        <x:v>2023-11</x:v>
      </x:c>
      <x:c r="J1050" s="8" t="n">
        <x:f>COUNTIFS($H$2:$H$1201,"&gt;"&amp;H1050)+COUNTIFS($H$2:H1050,H1050)</x:f>
        <x:v>1126</x:v>
      </x:c>
      <x:c r="K1050" s="1"/>
      <x:c r="L1050" s="1"/>
    </x:row>
    <x:row r="1051" ht="22" customHeight="1">
      <x:c r="A1051" s="8" t="n">
        <x:v>97</x:v>
      </x:c>
      <x:c r="B1051" s="6" t="n">
        <x:v>45251</x:v>
      </x:c>
      <x:c r="C1051" s="2" t="str">
        <x:v>Электроника</x:v>
      </x:c>
      <x:c r="D1051" s="2" t="str">
        <x:v>Ноутбук</x:v>
      </x:c>
      <x:c r="E1051" s="7" t="n">
        <x:v>124608.51</x:v>
      </x:c>
      <x:c r="F1051" s="9" t="n">
        <x:v>5</x:v>
      </x:c>
      <x:c r="G1051" s="2" t="str">
        <x:v>Екатеринбург</x:v>
      </x:c>
      <x:c r="H1051" s="7" t="n">
        <x:f>E1051*F1051</x:f>
        <x:v>623042.5499999999</x:v>
      </x:c>
      <x:c r="I1051" s="2" t="str">
        <x:f>TEXT(B1051,"yyyy-mm")</x:f>
        <x:v>2023-11</x:v>
      </x:c>
      <x:c r="J1051" s="8" t="n">
        <x:f>COUNTIFS($H$2:$H$1201,"&gt;"&amp;H1051)+COUNTIFS($H$2:H1051,H1051)</x:f>
        <x:v>307</x:v>
      </x:c>
      <x:c r="K1051" s="1"/>
      <x:c r="L1051" s="1"/>
    </x:row>
    <x:row r="1052" ht="22" customHeight="1">
      <x:c r="A1052" s="8" t="n">
        <x:v>202</x:v>
      </x:c>
      <x:c r="B1052" s="6" t="n">
        <x:v>45251</x:v>
      </x:c>
      <x:c r="C1052" s="2" t="str">
        <x:v>Электроника</x:v>
      </x:c>
      <x:c r="D1052" s="2" t="str">
        <x:v>Планшет</x:v>
      </x:c>
      <x:c r="E1052" s="7" t="n">
        <x:v>111331.35</x:v>
      </x:c>
      <x:c r="F1052" s="9" t="n">
        <x:v>6</x:v>
      </x:c>
      <x:c r="G1052" s="2" t="str">
        <x:v>Московская область</x:v>
      </x:c>
      <x:c r="H1052" s="7" t="n">
        <x:f>E1052*F1052</x:f>
        <x:v>667988.1000000001</x:v>
      </x:c>
      <x:c r="I1052" s="2" t="str">
        <x:f>TEXT(B1052,"yyyy-mm")</x:f>
        <x:v>2023-11</x:v>
      </x:c>
      <x:c r="J1052" s="8" t="n">
        <x:f>COUNTIFS($H$2:$H$1201,"&gt;"&amp;H1052)+COUNTIFS($H$2:H1052,H1052)</x:f>
        <x:v>288</x:v>
      </x:c>
      <x:c r="K1052" s="1"/>
      <x:c r="L1052" s="1"/>
    </x:row>
    <x:row r="1053" ht="22" customHeight="1">
      <x:c r="A1053" s="8" t="n">
        <x:v>543</x:v>
      </x:c>
      <x:c r="B1053" s="6" t="n">
        <x:v>45251</x:v>
      </x:c>
      <x:c r="C1053" s="2" t="str">
        <x:v>Одежда</x:v>
      </x:c>
      <x:c r="D1053" s="2" t="str">
        <x:v>Куртка</x:v>
      </x:c>
      <x:c r="E1053" s="7" t="n">
        <x:v>39545.04</x:v>
      </x:c>
      <x:c r="F1053" s="9" t="n">
        <x:v>3</x:v>
      </x:c>
      <x:c r="G1053" s="2" t="str">
        <x:v>Казань</x:v>
      </x:c>
      <x:c r="H1053" s="7" t="n">
        <x:f>E1053*F1053</x:f>
        <x:v>118635.12</x:v>
      </x:c>
      <x:c r="I1053" s="2" t="str">
        <x:f>TEXT(B1053,"yyyy-mm")</x:f>
        <x:v>2023-11</x:v>
      </x:c>
      <x:c r="J1053" s="8" t="n">
        <x:f>COUNTIFS($H$2:$H$1201,"&gt;"&amp;H1053)+COUNTIFS($H$2:H1053,H1053)</x:f>
        <x:v>930</x:v>
      </x:c>
      <x:c r="K1053" s="1"/>
      <x:c r="L1053" s="1"/>
    </x:row>
    <x:row r="1054" ht="22" customHeight="1">
      <x:c r="A1054" s="8" t="n">
        <x:v>187</x:v>
      </x:c>
      <x:c r="B1054" s="6" t="n">
        <x:v>45252</x:v>
      </x:c>
      <x:c r="C1054" s="2" t="str">
        <x:v>Электроника</x:v>
      </x:c>
      <x:c r="D1054" s="2" t="str">
        <x:v>Планшет</x:v>
      </x:c>
      <x:c r="E1054" s="7" t="n">
        <x:v>145261.27</x:v>
      </x:c>
      <x:c r="F1054" s="9" t="n">
        <x:v>7</x:v>
      </x:c>
      <x:c r="G1054" s="2" t="str">
        <x:v>Москва</x:v>
      </x:c>
      <x:c r="H1054" s="7" t="n">
        <x:f>E1054*F1054</x:f>
        <x:v>1016828.8899999999</x:v>
      </x:c>
      <x:c r="I1054" s="2" t="str">
        <x:f>TEXT(B1054,"yyyy-mm")</x:f>
        <x:v>2023-11</x:v>
      </x:c>
      <x:c r="J1054" s="8" t="n">
        <x:f>COUNTIFS($H$2:$H$1201,"&gt;"&amp;H1054)+COUNTIFS($H$2:H1054,H1054)</x:f>
        <x:v>83</x:v>
      </x:c>
      <x:c r="K1054" s="1"/>
      <x:c r="L1054" s="1"/>
    </x:row>
    <x:row r="1055" ht="22" customHeight="1">
      <x:c r="A1055" s="8" t="n">
        <x:v>322</x:v>
      </x:c>
      <x:c r="B1055" s="6" t="n">
        <x:v>45252</x:v>
      </x:c>
      <x:c r="C1055" s="2" t="str">
        <x:v>Электроника</x:v>
      </x:c>
      <x:c r="D1055" s="2" t="str">
        <x:v>Планшет</x:v>
      </x:c>
      <x:c r="E1055" s="7" t="n">
        <x:v>92782.53</x:v>
      </x:c>
      <x:c r="F1055" s="9" t="n">
        <x:v>1</x:v>
      </x:c>
      <x:c r="G1055" s="2" t="str">
        <x:v>Санкт‑Петербург</x:v>
      </x:c>
      <x:c r="H1055" s="7" t="n">
        <x:f>E1055*F1055</x:f>
        <x:v>92782.53</x:v>
      </x:c>
      <x:c r="I1055" s="2" t="str">
        <x:f>TEXT(B1055,"yyyy-mm")</x:f>
        <x:v>2023-11</x:v>
      </x:c>
      <x:c r="J1055" s="8" t="n">
        <x:f>COUNTIFS($H$2:$H$1201,"&gt;"&amp;H1055)+COUNTIFS($H$2:H1055,H1055)</x:f>
        <x:v>983</x:v>
      </x:c>
      <x:c r="K1055" s="1"/>
      <x:c r="L1055" s="1"/>
    </x:row>
    <x:row r="1056" ht="22" customHeight="1">
      <x:c r="A1056" s="8" t="n">
        <x:v>426</x:v>
      </x:c>
      <x:c r="B1056" s="6" t="n">
        <x:v>45252</x:v>
      </x:c>
      <x:c r="C1056" s="2" t="str">
        <x:v>Продукты</x:v>
      </x:c>
      <x:c r="D1056" s="2" t="str">
        <x:v>Молоко</x:v>
      </x:c>
      <x:c r="E1056" s="7" t="n">
        <x:v>10977.55</x:v>
      </x:c>
      <x:c r="F1056" s="9" t="n">
        <x:v>1</x:v>
      </x:c>
      <x:c r="G1056" s="2" t="str">
        <x:v>Москва</x:v>
      </x:c>
      <x:c r="H1056" s="7" t="n">
        <x:f>E1056*F1056</x:f>
        <x:v>10977.55</x:v>
      </x:c>
      <x:c r="I1056" s="2" t="str">
        <x:f>TEXT(B1056,"yyyy-mm")</x:f>
        <x:v>2023-11</x:v>
      </x:c>
      <x:c r="J1056" s="8" t="n">
        <x:f>COUNTIFS($H$2:$H$1201,"&gt;"&amp;H1056)+COUNTIFS($H$2:H1056,H1056)</x:f>
        <x:v>1182</x:v>
      </x:c>
      <x:c r="K1056" s="1"/>
      <x:c r="L1056" s="1"/>
    </x:row>
    <x:row r="1057" ht="22" customHeight="1">
      <x:c r="A1057" s="8" t="n">
        <x:v>678</x:v>
      </x:c>
      <x:c r="B1057" s="6" t="n">
        <x:v>45252</x:v>
      </x:c>
      <x:c r="C1057" s="2" t="str">
        <x:v>Одежда</x:v>
      </x:c>
      <x:c r="D1057" s="2" t="str">
        <x:v>Куртка</x:v>
      </x:c>
      <x:c r="E1057" s="7" t="n">
        <x:v>61499.92</x:v>
      </x:c>
      <x:c r="F1057" s="9" t="n">
        <x:v>7</x:v>
      </x:c>
      <x:c r="G1057" s="2" t="str">
        <x:v>Москва</x:v>
      </x:c>
      <x:c r="H1057" s="7" t="n">
        <x:f>E1057*F1057</x:f>
        <x:v>430499.44</x:v>
      </x:c>
      <x:c r="I1057" s="2" t="str">
        <x:f>TEXT(B1057,"yyyy-mm")</x:f>
        <x:v>2023-11</x:v>
      </x:c>
      <x:c r="J1057" s="8" t="n">
        <x:f>COUNTIFS($H$2:$H$1201,"&gt;"&amp;H1057)+COUNTIFS($H$2:H1057,H1057)</x:f>
        <x:v>483</x:v>
      </x:c>
      <x:c r="K1057" s="1"/>
      <x:c r="L1057" s="1"/>
    </x:row>
    <x:row r="1058" ht="22" customHeight="1">
      <x:c r="A1058" s="8" t="n">
        <x:v>1042</x:v>
      </x:c>
      <x:c r="B1058" s="6" t="n">
        <x:v>45252</x:v>
      </x:c>
      <x:c r="C1058" s="2" t="str">
        <x:v>Электроника</x:v>
      </x:c>
      <x:c r="D1058" s="2" t="str">
        <x:v>Наушники</x:v>
      </x:c>
      <x:c r="E1058" s="7" t="n">
        <x:v>38064.6</x:v>
      </x:c>
      <x:c r="F1058" s="9" t="n">
        <x:v>8</x:v>
      </x:c>
      <x:c r="G1058" s="2" t="str">
        <x:v>Москва</x:v>
      </x:c>
      <x:c r="H1058" s="7" t="n">
        <x:f>E1058*F1058</x:f>
        <x:v>304516.8</x:v>
      </x:c>
      <x:c r="I1058" s="2" t="str">
        <x:f>TEXT(B1058,"yyyy-mm")</x:f>
        <x:v>2023-11</x:v>
      </x:c>
      <x:c r="J1058" s="8" t="n">
        <x:f>COUNTIFS($H$2:$H$1201,"&gt;"&amp;H1058)+COUNTIFS($H$2:H1058,H1058)</x:f>
        <x:v>629</x:v>
      </x:c>
      <x:c r="K1058" s="1"/>
      <x:c r="L1058" s="1"/>
    </x:row>
    <x:row r="1059" ht="22" customHeight="1">
      <x:c r="A1059" s="8" t="n">
        <x:v>1197</x:v>
      </x:c>
      <x:c r="B1059" s="6" t="n">
        <x:v>45252</x:v>
      </x:c>
      <x:c r="C1059" s="2" t="str">
        <x:v>Продукты</x:v>
      </x:c>
      <x:c r="D1059" s="2" t="str">
        <x:v>Шоколад</x:v>
      </x:c>
      <x:c r="E1059" s="7" t="n">
        <x:v>124833.97</x:v>
      </x:c>
      <x:c r="F1059" s="9" t="n">
        <x:v>8</x:v>
      </x:c>
      <x:c r="G1059" s="2" t="str">
        <x:v>Санкт‑Петербург</x:v>
      </x:c>
      <x:c r="H1059" s="7" t="n">
        <x:f>E1059*F1059</x:f>
        <x:v>998671.76</x:v>
      </x:c>
      <x:c r="I1059" s="2" t="str">
        <x:f>TEXT(B1059,"yyyy-mm")</x:f>
        <x:v>2023-11</x:v>
      </x:c>
      <x:c r="J1059" s="8" t="n">
        <x:f>COUNTIFS($H$2:$H$1201,"&gt;"&amp;H1059)+COUNTIFS($H$2:H1059,H1059)</x:f>
        <x:v>90</x:v>
      </x:c>
      <x:c r="K1059" s="1"/>
      <x:c r="L1059" s="1"/>
    </x:row>
    <x:row r="1060" ht="22" customHeight="1">
      <x:c r="A1060" s="8" t="n">
        <x:v>64</x:v>
      </x:c>
      <x:c r="B1060" s="6" t="n">
        <x:v>45253</x:v>
      </x:c>
      <x:c r="C1060" s="2" t="str">
        <x:v>Товары для дома</x:v>
      </x:c>
      <x:c r="D1060" s="2" t="str">
        <x:v>Кружка</x:v>
      </x:c>
      <x:c r="E1060" s="7" t="n">
        <x:v>19927.87</x:v>
      </x:c>
      <x:c r="F1060" s="9" t="n">
        <x:v>3</x:v>
      </x:c>
      <x:c r="G1060" s="2" t="str">
        <x:v>Московская область</x:v>
      </x:c>
      <x:c r="H1060" s="7" t="n">
        <x:f>E1060*F1060</x:f>
        <x:v>59783.61</x:v>
      </x:c>
      <x:c r="I1060" s="2" t="str">
        <x:f>TEXT(B1060,"yyyy-mm")</x:f>
        <x:v>2023-11</x:v>
      </x:c>
      <x:c r="J1060" s="8" t="n">
        <x:f>COUNTIFS($H$2:$H$1201,"&gt;"&amp;H1060)+COUNTIFS($H$2:H1060,H1060)</x:f>
        <x:v>1060</x:v>
      </x:c>
      <x:c r="K1060" s="1"/>
      <x:c r="L1060" s="1"/>
    </x:row>
    <x:row r="1061" ht="22" customHeight="1">
      <x:c r="A1061" s="8" t="n">
        <x:v>330</x:v>
      </x:c>
      <x:c r="B1061" s="6" t="n">
        <x:v>45253</x:v>
      </x:c>
      <x:c r="C1061" s="2" t="str">
        <x:v>Товары для дома</x:v>
      </x:c>
      <x:c r="D1061" s="2" t="str">
        <x:v>Плед</x:v>
      </x:c>
      <x:c r="E1061" s="7" t="n">
        <x:v>11810.29</x:v>
      </x:c>
      <x:c r="F1061" s="9" t="n">
        <x:v>8</x:v>
      </x:c>
      <x:c r="G1061" s="2" t="str">
        <x:v>Новосибирск</x:v>
      </x:c>
      <x:c r="H1061" s="7" t="n">
        <x:f>E1061*F1061</x:f>
        <x:v>94482.32</x:v>
      </x:c>
      <x:c r="I1061" s="2" t="str">
        <x:f>TEXT(B1061,"yyyy-mm")</x:f>
        <x:v>2023-11</x:v>
      </x:c>
      <x:c r="J1061" s="8" t="n">
        <x:f>COUNTIFS($H$2:$H$1201,"&gt;"&amp;H1061)+COUNTIFS($H$2:H1061,H1061)</x:f>
        <x:v>982</x:v>
      </x:c>
      <x:c r="K1061" s="1"/>
      <x:c r="L1061" s="1"/>
    </x:row>
    <x:row r="1062" ht="22" customHeight="1">
      <x:c r="A1062" s="8" t="n">
        <x:v>684</x:v>
      </x:c>
      <x:c r="B1062" s="6" t="n">
        <x:v>45253</x:v>
      </x:c>
      <x:c r="C1062" s="2" t="str">
        <x:v>Продукты</x:v>
      </x:c>
      <x:c r="D1062" s="2" t="str">
        <x:v>Хлеб</x:v>
      </x:c>
      <x:c r="E1062" s="7" t="n">
        <x:v>54709.84</x:v>
      </x:c>
      <x:c r="F1062" s="9" t="n">
        <x:v>2</x:v>
      </x:c>
      <x:c r="G1062" s="2" t="str">
        <x:v>Москва</x:v>
      </x:c>
      <x:c r="H1062" s="7" t="n">
        <x:f>E1062*F1062</x:f>
        <x:v>109419.68</x:v>
      </x:c>
      <x:c r="I1062" s="2" t="str">
        <x:f>TEXT(B1062,"yyyy-mm")</x:f>
        <x:v>2023-11</x:v>
      </x:c>
      <x:c r="J1062" s="8" t="n">
        <x:f>COUNTIFS($H$2:$H$1201,"&gt;"&amp;H1062)+COUNTIFS($H$2:H1062,H1062)</x:f>
        <x:v>951</x:v>
      </x:c>
      <x:c r="K1062" s="1"/>
      <x:c r="L1062" s="1"/>
    </x:row>
    <x:row r="1063" ht="22" customHeight="1">
      <x:c r="A1063" s="8" t="n">
        <x:v>716</x:v>
      </x:c>
      <x:c r="B1063" s="6" t="n">
        <x:v>45253</x:v>
      </x:c>
      <x:c r="C1063" s="2" t="str">
        <x:v>Товары для дома</x:v>
      </x:c>
      <x:c r="D1063" s="2" t="str">
        <x:v>Кружка</x:v>
      </x:c>
      <x:c r="E1063" s="7" t="n">
        <x:v>129723.56</x:v>
      </x:c>
      <x:c r="F1063" s="9" t="n">
        <x:v>5</x:v>
      </x:c>
      <x:c r="G1063" s="2" t="str">
        <x:v>Екатеринбург</x:v>
      </x:c>
      <x:c r="H1063" s="7" t="n">
        <x:f>E1063*F1063</x:f>
        <x:v>648617.8</x:v>
      </x:c>
      <x:c r="I1063" s="2" t="str">
        <x:f>TEXT(B1063,"yyyy-mm")</x:f>
        <x:v>2023-11</x:v>
      </x:c>
      <x:c r="J1063" s="8" t="n">
        <x:f>COUNTIFS($H$2:$H$1201,"&gt;"&amp;H1063)+COUNTIFS($H$2:H1063,H1063)</x:f>
        <x:v>296</x:v>
      </x:c>
      <x:c r="K1063" s="1"/>
      <x:c r="L1063" s="1"/>
    </x:row>
    <x:row r="1064" ht="22" customHeight="1">
      <x:c r="A1064" s="8" t="n">
        <x:v>243</x:v>
      </x:c>
      <x:c r="B1064" s="6" t="n">
        <x:v>45254</x:v>
      </x:c>
      <x:c r="C1064" s="2" t="str">
        <x:v>Продукты</x:v>
      </x:c>
      <x:c r="D1064" s="2" t="str">
        <x:v>Молоко</x:v>
      </x:c>
      <x:c r="E1064" s="7" t="n">
        <x:v>67090.67</x:v>
      </x:c>
      <x:c r="F1064" s="9" t="n">
        <x:v>4</x:v>
      </x:c>
      <x:c r="G1064" s="2" t="str">
        <x:v>Новосибирск</x:v>
      </x:c>
      <x:c r="H1064" s="7" t="n">
        <x:f>E1064*F1064</x:f>
        <x:v>268362.68</x:v>
      </x:c>
      <x:c r="I1064" s="2" t="str">
        <x:f>TEXT(B1064,"yyyy-mm")</x:f>
        <x:v>2023-11</x:v>
      </x:c>
      <x:c r="J1064" s="8" t="n">
        <x:f>COUNTIFS($H$2:$H$1201,"&gt;"&amp;H1064)+COUNTIFS($H$2:H1064,H1064)</x:f>
        <x:v>671</x:v>
      </x:c>
      <x:c r="K1064" s="1"/>
      <x:c r="L1064" s="1"/>
    </x:row>
    <x:row r="1065" ht="22" customHeight="1">
      <x:c r="A1065" s="8" t="n">
        <x:v>694</x:v>
      </x:c>
      <x:c r="B1065" s="6" t="n">
        <x:v>45254</x:v>
      </x:c>
      <x:c r="C1065" s="2" t="str">
        <x:v>Электроника</x:v>
      </x:c>
      <x:c r="D1065" s="2" t="str">
        <x:v>Смартфон</x:v>
      </x:c>
      <x:c r="E1065" s="7" t="n">
        <x:v>135410.37</x:v>
      </x:c>
      <x:c r="F1065" s="9" t="n">
        <x:v>5</x:v>
      </x:c>
      <x:c r="G1065" s="2" t="str">
        <x:v>Московская область</x:v>
      </x:c>
      <x:c r="H1065" s="7" t="n">
        <x:f>E1065*F1065</x:f>
        <x:v>677051.85</x:v>
      </x:c>
      <x:c r="I1065" s="2" t="str">
        <x:f>TEXT(B1065,"yyyy-mm")</x:f>
        <x:v>2023-11</x:v>
      </x:c>
      <x:c r="J1065" s="8" t="n">
        <x:f>COUNTIFS($H$2:$H$1201,"&gt;"&amp;H1065)+COUNTIFS($H$2:H1065,H1065)</x:f>
        <x:v>281</x:v>
      </x:c>
      <x:c r="K1065" s="1"/>
      <x:c r="L1065" s="1"/>
    </x:row>
    <x:row r="1066" ht="22" customHeight="1">
      <x:c r="A1066" s="8" t="n">
        <x:v>701</x:v>
      </x:c>
      <x:c r="B1066" s="6" t="n">
        <x:v>45254</x:v>
      </x:c>
      <x:c r="C1066" s="2" t="str">
        <x:v>Электроника</x:v>
      </x:c>
      <x:c r="D1066" s="2" t="str">
        <x:v>Смартфон</x:v>
      </x:c>
      <x:c r="E1066" s="7" t="n">
        <x:v>51260.99</x:v>
      </x:c>
      <x:c r="F1066" s="9" t="n">
        <x:v>1</x:v>
      </x:c>
      <x:c r="G1066" s="2" t="str">
        <x:v>Москва</x:v>
      </x:c>
      <x:c r="H1066" s="7" t="n">
        <x:f>E1066*F1066</x:f>
        <x:v>51260.99</x:v>
      </x:c>
      <x:c r="I1066" s="2" t="str">
        <x:f>TEXT(B1066,"yyyy-mm")</x:f>
        <x:v>2023-11</x:v>
      </x:c>
      <x:c r="J1066" s="8" t="n">
        <x:f>COUNTIFS($H$2:$H$1201,"&gt;"&amp;H1066)+COUNTIFS($H$2:H1066,H1066)</x:f>
        <x:v>1082</x:v>
      </x:c>
      <x:c r="K1066" s="1"/>
      <x:c r="L1066" s="1"/>
    </x:row>
    <x:row r="1067" ht="22" customHeight="1">
      <x:c r="A1067" s="8" t="n">
        <x:v>729</x:v>
      </x:c>
      <x:c r="B1067" s="6" t="n">
        <x:v>45254</x:v>
      </x:c>
      <x:c r="C1067" s="2" t="str">
        <x:v>Электроника</x:v>
      </x:c>
      <x:c r="D1067" s="2" t="str">
        <x:v>Планшет</x:v>
      </x:c>
      <x:c r="E1067" s="7" t="n">
        <x:v>80711.66</x:v>
      </x:c>
      <x:c r="F1067" s="9" t="n">
        <x:v>1</x:v>
      </x:c>
      <x:c r="G1067" s="2" t="str">
        <x:v>Екатеринбург</x:v>
      </x:c>
      <x:c r="H1067" s="7" t="n">
        <x:f>E1067*F1067</x:f>
        <x:v>80711.66</x:v>
      </x:c>
      <x:c r="I1067" s="2" t="str">
        <x:f>TEXT(B1067,"yyyy-mm")</x:f>
        <x:v>2023-11</x:v>
      </x:c>
      <x:c r="J1067" s="8" t="n">
        <x:f>COUNTIFS($H$2:$H$1201,"&gt;"&amp;H1067)+COUNTIFS($H$2:H1067,H1067)</x:f>
        <x:v>1013</x:v>
      </x:c>
      <x:c r="K1067" s="1"/>
      <x:c r="L1067" s="1"/>
    </x:row>
    <x:row r="1068" ht="22" customHeight="1">
      <x:c r="A1068" s="8" t="n">
        <x:v>1037</x:v>
      </x:c>
      <x:c r="B1068" s="6" t="n">
        <x:v>45254</x:v>
      </x:c>
      <x:c r="C1068" s="2" t="str">
        <x:v>Электроника</x:v>
      </x:c>
      <x:c r="D1068" s="2" t="str">
        <x:v>Наушники</x:v>
      </x:c>
      <x:c r="E1068" s="7" t="n">
        <x:v>47615.62</x:v>
      </x:c>
      <x:c r="F1068" s="9" t="n">
        <x:v>7</x:v>
      </x:c>
      <x:c r="G1068" s="2" t="str">
        <x:v>Московская область</x:v>
      </x:c>
      <x:c r="H1068" s="7" t="n">
        <x:f>E1068*F1068</x:f>
        <x:v>333309.34</x:v>
      </x:c>
      <x:c r="I1068" s="2" t="str">
        <x:f>TEXT(B1068,"yyyy-mm")</x:f>
        <x:v>2023-11</x:v>
      </x:c>
      <x:c r="J1068" s="8" t="n">
        <x:f>COUNTIFS($H$2:$H$1201,"&gt;"&amp;H1068)+COUNTIFS($H$2:H1068,H1068)</x:f>
        <x:v>596</x:v>
      </x:c>
      <x:c r="K1068" s="1"/>
      <x:c r="L1068" s="1"/>
    </x:row>
    <x:row r="1069" ht="22" customHeight="1">
      <x:c r="A1069" s="8" t="n">
        <x:v>1162</x:v>
      </x:c>
      <x:c r="B1069" s="6" t="n">
        <x:v>45254</x:v>
      </x:c>
      <x:c r="C1069" s="2" t="str">
        <x:v>Одежда</x:v>
      </x:c>
      <x:c r="D1069" s="2" t="str">
        <x:v>Кроссовки</x:v>
      </x:c>
      <x:c r="E1069" s="7" t="n">
        <x:v>136104.19</x:v>
      </x:c>
      <x:c r="F1069" s="9" t="n">
        <x:v>7</x:v>
      </x:c>
      <x:c r="G1069" s="2" t="str">
        <x:v>Москва</x:v>
      </x:c>
      <x:c r="H1069" s="7" t="n">
        <x:f>E1069*F1069</x:f>
        <x:v>952729.3300000001</x:v>
      </x:c>
      <x:c r="I1069" s="2" t="str">
        <x:f>TEXT(B1069,"yyyy-mm")</x:f>
        <x:v>2023-11</x:v>
      </x:c>
      <x:c r="J1069" s="8" t="n">
        <x:f>COUNTIFS($H$2:$H$1201,"&gt;"&amp;H1069)+COUNTIFS($H$2:H1069,H1069)</x:f>
        <x:v>109</x:v>
      </x:c>
      <x:c r="K1069" s="1"/>
      <x:c r="L1069" s="1"/>
    </x:row>
    <x:row r="1070" ht="22" customHeight="1">
      <x:c r="A1070" s="8" t="n">
        <x:v>316</x:v>
      </x:c>
      <x:c r="B1070" s="6" t="n">
        <x:v>45255</x:v>
      </x:c>
      <x:c r="C1070" s="2" t="str">
        <x:v>Электроника</x:v>
      </x:c>
      <x:c r="D1070" s="2" t="str">
        <x:v>Наушники</x:v>
      </x:c>
      <x:c r="E1070" s="7" t="n">
        <x:v>81895.51</x:v>
      </x:c>
      <x:c r="F1070" s="9" t="n">
        <x:v>1</x:v>
      </x:c>
      <x:c r="G1070" s="2" t="str">
        <x:v>Казань</x:v>
      </x:c>
      <x:c r="H1070" s="7" t="n">
        <x:f>E1070*F1070</x:f>
        <x:v>81895.51</x:v>
      </x:c>
      <x:c r="I1070" s="2" t="str">
        <x:f>TEXT(B1070,"yyyy-mm")</x:f>
        <x:v>2023-11</x:v>
      </x:c>
      <x:c r="J1070" s="8" t="n">
        <x:f>COUNTIFS($H$2:$H$1201,"&gt;"&amp;H1070)+COUNTIFS($H$2:H1070,H1070)</x:f>
        <x:v>1010</x:v>
      </x:c>
      <x:c r="K1070" s="1"/>
      <x:c r="L1070" s="1"/>
    </x:row>
    <x:row r="1071" ht="22" customHeight="1">
      <x:c r="A1071" s="8" t="n">
        <x:v>901</x:v>
      </x:c>
      <x:c r="B1071" s="6" t="n">
        <x:v>45255</x:v>
      </x:c>
      <x:c r="C1071" s="2" t="str">
        <x:v>Продукты</x:v>
      </x:c>
      <x:c r="D1071" s="2" t="str">
        <x:v>Шоколад</x:v>
      </x:c>
      <x:c r="E1071" s="7" t="n">
        <x:v>133267.86</x:v>
      </x:c>
      <x:c r="F1071" s="9" t="n">
        <x:v>6</x:v>
      </x:c>
      <x:c r="G1071" s="2" t="str">
        <x:v>Московская область</x:v>
      </x:c>
      <x:c r="H1071" s="7" t="n">
        <x:f>E1071*F1071</x:f>
        <x:v>799607.1599999999</x:v>
      </x:c>
      <x:c r="I1071" s="2" t="str">
        <x:f>TEXT(B1071,"yyyy-mm")</x:f>
        <x:v>2023-11</x:v>
      </x:c>
      <x:c r="J1071" s="8" t="n">
        <x:f>COUNTIFS($H$2:$H$1201,"&gt;"&amp;H1071)+COUNTIFS($H$2:H1071,H1071)</x:f>
        <x:v>198</x:v>
      </x:c>
      <x:c r="K1071" s="1"/>
      <x:c r="L1071" s="1"/>
    </x:row>
    <x:row r="1072" ht="22" customHeight="1">
      <x:c r="A1072" s="8" t="n">
        <x:v>17</x:v>
      </x:c>
      <x:c r="B1072" s="6" t="n">
        <x:v>45256</x:v>
      </x:c>
      <x:c r="C1072" s="2" t="str">
        <x:v>Одежда</x:v>
      </x:c>
      <x:c r="D1072" s="2" t="str">
        <x:v>Джинсы</x:v>
      </x:c>
      <x:c r="E1072" s="7" t="n">
        <x:v>88263.35</x:v>
      </x:c>
      <x:c r="F1072" s="9" t="n">
        <x:v>5</x:v>
      </x:c>
      <x:c r="G1072" s="2" t="str">
        <x:v>Московская область</x:v>
      </x:c>
      <x:c r="H1072" s="7" t="n">
        <x:f>E1072*F1072</x:f>
        <x:v>441316.75</x:v>
      </x:c>
      <x:c r="I1072" s="2" t="str">
        <x:f>TEXT(B1072,"yyyy-mm")</x:f>
        <x:v>2023-11</x:v>
      </x:c>
      <x:c r="J1072" s="8" t="n">
        <x:f>COUNTIFS($H$2:$H$1201,"&gt;"&amp;H1072)+COUNTIFS($H$2:H1072,H1072)</x:f>
        <x:v>466</x:v>
      </x:c>
      <x:c r="K1072" s="1"/>
      <x:c r="L1072" s="1"/>
    </x:row>
    <x:row r="1073" ht="22" customHeight="1">
      <x:c r="A1073" s="8" t="n">
        <x:v>92</x:v>
      </x:c>
      <x:c r="B1073" s="6" t="n">
        <x:v>45256</x:v>
      </x:c>
      <x:c r="C1073" s="2" t="str">
        <x:v>Одежда</x:v>
      </x:c>
      <x:c r="D1073" s="2" t="str">
        <x:v>Куртка</x:v>
      </x:c>
      <x:c r="E1073" s="7" t="n">
        <x:v>65893.6</x:v>
      </x:c>
      <x:c r="F1073" s="9" t="n">
        <x:v>2</x:v>
      </x:c>
      <x:c r="G1073" s="2" t="str">
        <x:v>Казань</x:v>
      </x:c>
      <x:c r="H1073" s="7" t="n">
        <x:f>E1073*F1073</x:f>
        <x:v>131787.2</x:v>
      </x:c>
      <x:c r="I1073" s="2" t="str">
        <x:f>TEXT(B1073,"yyyy-mm")</x:f>
        <x:v>2023-11</x:v>
      </x:c>
      <x:c r="J1073" s="8" t="n">
        <x:f>COUNTIFS($H$2:$H$1201,"&gt;"&amp;H1073)+COUNTIFS($H$2:H1073,H1073)</x:f>
        <x:v>899</x:v>
      </x:c>
      <x:c r="K1073" s="1"/>
      <x:c r="L1073" s="1"/>
    </x:row>
    <x:row r="1074" ht="22" customHeight="1">
      <x:c r="A1074" s="8" t="n">
        <x:v>203</x:v>
      </x:c>
      <x:c r="B1074" s="6" t="n">
        <x:v>45257</x:v>
      </x:c>
      <x:c r="C1074" s="2" t="str">
        <x:v>Одежда</x:v>
      </x:c>
      <x:c r="D1074" s="2" t="str">
        <x:v>Кроссовки</x:v>
      </x:c>
      <x:c r="E1074" s="7" t="n">
        <x:v>49426.49</x:v>
      </x:c>
      <x:c r="F1074" s="9" t="n">
        <x:v>8</x:v>
      </x:c>
      <x:c r="G1074" s="2" t="str">
        <x:v>Новосибирск</x:v>
      </x:c>
      <x:c r="H1074" s="7" t="n">
        <x:f>E1074*F1074</x:f>
        <x:v>395411.92</x:v>
      </x:c>
      <x:c r="I1074" s="2" t="str">
        <x:f>TEXT(B1074,"yyyy-mm")</x:f>
        <x:v>2023-11</x:v>
      </x:c>
      <x:c r="J1074" s="8" t="n">
        <x:f>COUNTIFS($H$2:$H$1201,"&gt;"&amp;H1074)+COUNTIFS($H$2:H1074,H1074)</x:f>
        <x:v>526</x:v>
      </x:c>
      <x:c r="K1074" s="1"/>
      <x:c r="L1074" s="1"/>
    </x:row>
    <x:row r="1075" ht="22" customHeight="1">
      <x:c r="A1075" s="8" t="n">
        <x:v>423</x:v>
      </x:c>
      <x:c r="B1075" s="6" t="n">
        <x:v>45257</x:v>
      </x:c>
      <x:c r="C1075" s="2" t="str">
        <x:v>Продукты</x:v>
      </x:c>
      <x:c r="D1075" s="2" t="str">
        <x:v>Шоколад</x:v>
      </x:c>
      <x:c r="E1075" s="7" t="n">
        <x:v>36470.76</x:v>
      </x:c>
      <x:c r="F1075" s="9" t="n">
        <x:v>8</x:v>
      </x:c>
      <x:c r="G1075" s="2" t="str">
        <x:v>Москва</x:v>
      </x:c>
      <x:c r="H1075" s="7" t="n">
        <x:f>E1075*F1075</x:f>
        <x:v>291766.08</x:v>
      </x:c>
      <x:c r="I1075" s="2" t="str">
        <x:f>TEXT(B1075,"yyyy-mm")</x:f>
        <x:v>2023-11</x:v>
      </x:c>
      <x:c r="J1075" s="8" t="n">
        <x:f>COUNTIFS($H$2:$H$1201,"&gt;"&amp;H1075)+COUNTIFS($H$2:H1075,H1075)</x:f>
        <x:v>641</x:v>
      </x:c>
      <x:c r="K1075" s="1"/>
      <x:c r="L1075" s="1"/>
    </x:row>
    <x:row r="1076" ht="22" customHeight="1">
      <x:c r="A1076" s="8" t="n">
        <x:v>451</x:v>
      </x:c>
      <x:c r="B1076" s="6" t="n">
        <x:v>45257</x:v>
      </x:c>
      <x:c r="C1076" s="2" t="str">
        <x:v>Продукты</x:v>
      </x:c>
      <x:c r="D1076" s="2" t="str">
        <x:v>Молоко</x:v>
      </x:c>
      <x:c r="E1076" s="7" t="n">
        <x:v>92025.96</x:v>
      </x:c>
      <x:c r="F1076" s="9" t="n">
        <x:v>5</x:v>
      </x:c>
      <x:c r="G1076" s="2" t="str">
        <x:v>Казань</x:v>
      </x:c>
      <x:c r="H1076" s="7" t="n">
        <x:f>E1076*F1076</x:f>
        <x:v>460129.80000000005</x:v>
      </x:c>
      <x:c r="I1076" s="2" t="str">
        <x:f>TEXT(B1076,"yyyy-mm")</x:f>
        <x:v>2023-11</x:v>
      </x:c>
      <x:c r="J1076" s="8" t="n">
        <x:f>COUNTIFS($H$2:$H$1201,"&gt;"&amp;H1076)+COUNTIFS($H$2:H1076,H1076)</x:f>
        <x:v>441</x:v>
      </x:c>
      <x:c r="K1076" s="1"/>
      <x:c r="L1076" s="1"/>
    </x:row>
    <x:row r="1077" ht="22" customHeight="1">
      <x:c r="A1077" s="8" t="n">
        <x:v>621</x:v>
      </x:c>
      <x:c r="B1077" s="6" t="n">
        <x:v>45257</x:v>
      </x:c>
      <x:c r="C1077" s="2" t="str">
        <x:v>Продукты</x:v>
      </x:c>
      <x:c r="D1077" s="2" t="str">
        <x:v>Хлеб</x:v>
      </x:c>
      <x:c r="E1077" s="7" t="n">
        <x:v>137310.11</x:v>
      </x:c>
      <x:c r="F1077" s="9" t="n">
        <x:v>6</x:v>
      </x:c>
      <x:c r="G1077" s="2" t="str">
        <x:v>Новосибирск</x:v>
      </x:c>
      <x:c r="H1077" s="7" t="n">
        <x:f>E1077*F1077</x:f>
        <x:v>823860.6599999999</x:v>
      </x:c>
      <x:c r="I1077" s="2" t="str">
        <x:f>TEXT(B1077,"yyyy-mm")</x:f>
        <x:v>2023-11</x:v>
      </x:c>
      <x:c r="J1077" s="8" t="n">
        <x:f>COUNTIFS($H$2:$H$1201,"&gt;"&amp;H1077)+COUNTIFS($H$2:H1077,H1077)</x:f>
        <x:v>181</x:v>
      </x:c>
      <x:c r="K1077" s="1"/>
      <x:c r="L1077" s="1"/>
    </x:row>
    <x:row r="1078" ht="22" customHeight="1">
      <x:c r="A1078" s="8" t="n">
        <x:v>631</x:v>
      </x:c>
      <x:c r="B1078" s="6" t="n">
        <x:v>45257</x:v>
      </x:c>
      <x:c r="C1078" s="2" t="str">
        <x:v>Товары для дома</x:v>
      </x:c>
      <x:c r="D1078" s="2" t="str">
        <x:v>Подушка</x:v>
      </x:c>
      <x:c r="E1078" s="7" t="n">
        <x:v>9789.6</x:v>
      </x:c>
      <x:c r="F1078" s="9" t="n">
        <x:v>4</x:v>
      </x:c>
      <x:c r="G1078" s="2" t="str">
        <x:v>Казань</x:v>
      </x:c>
      <x:c r="H1078" s="7" t="n">
        <x:f>E1078*F1078</x:f>
        <x:v>39158.4</x:v>
      </x:c>
      <x:c r="I1078" s="2" t="str">
        <x:f>TEXT(B1078,"yyyy-mm")</x:f>
        <x:v>2023-11</x:v>
      </x:c>
      <x:c r="J1078" s="8" t="n">
        <x:f>COUNTIFS($H$2:$H$1201,"&gt;"&amp;H1078)+COUNTIFS($H$2:H1078,H1078)</x:f>
        <x:v>1108</x:v>
      </x:c>
      <x:c r="K1078" s="1"/>
      <x:c r="L1078" s="1"/>
    </x:row>
    <x:row r="1079" ht="22" customHeight="1">
      <x:c r="A1079" s="8" t="n">
        <x:v>1003</x:v>
      </x:c>
      <x:c r="B1079" s="6" t="n">
        <x:v>45257</x:v>
      </x:c>
      <x:c r="C1079" s="2" t="str">
        <x:v>Электроника</x:v>
      </x:c>
      <x:c r="D1079" s="2" t="str">
        <x:v>Ноутбук</x:v>
      </x:c>
      <x:c r="E1079" s="7" t="n">
        <x:v>59952.82</x:v>
      </x:c>
      <x:c r="F1079" s="9" t="n">
        <x:v>5</x:v>
      </x:c>
      <x:c r="G1079" s="2" t="str">
        <x:v>Москва</x:v>
      </x:c>
      <x:c r="H1079" s="7" t="n">
        <x:f>E1079*F1079</x:f>
        <x:v>299764.1</x:v>
      </x:c>
      <x:c r="I1079" s="2" t="str">
        <x:f>TEXT(B1079,"yyyy-mm")</x:f>
        <x:v>2023-11</x:v>
      </x:c>
      <x:c r="J1079" s="8" t="n">
        <x:f>COUNTIFS($H$2:$H$1201,"&gt;"&amp;H1079)+COUNTIFS($H$2:H1079,H1079)</x:f>
        <x:v>631</x:v>
      </x:c>
      <x:c r="K1079" s="1"/>
      <x:c r="L1079" s="1"/>
    </x:row>
    <x:row r="1080" ht="22" customHeight="1">
      <x:c r="A1080" s="8" t="n">
        <x:v>1127</x:v>
      </x:c>
      <x:c r="B1080" s="6" t="n">
        <x:v>45257</x:v>
      </x:c>
      <x:c r="C1080" s="2" t="str">
        <x:v>Товары для дома</x:v>
      </x:c>
      <x:c r="D1080" s="2" t="str">
        <x:v>Плед</x:v>
      </x:c>
      <x:c r="E1080" s="7" t="n">
        <x:v>100059.73</x:v>
      </x:c>
      <x:c r="F1080" s="9" t="n">
        <x:v>8</x:v>
      </x:c>
      <x:c r="G1080" s="2" t="str">
        <x:v>Московская область</x:v>
      </x:c>
      <x:c r="H1080" s="7" t="n">
        <x:f>E1080*F1080</x:f>
        <x:v>800477.84</x:v>
      </x:c>
      <x:c r="I1080" s="2" t="str">
        <x:f>TEXT(B1080,"yyyy-mm")</x:f>
        <x:v>2023-11</x:v>
      </x:c>
      <x:c r="J1080" s="8" t="n">
        <x:f>COUNTIFS($H$2:$H$1201,"&gt;"&amp;H1080)+COUNTIFS($H$2:H1080,H1080)</x:f>
        <x:v>197</x:v>
      </x:c>
      <x:c r="K1080" s="1"/>
      <x:c r="L1080" s="1"/>
    </x:row>
    <x:row r="1081" ht="22" customHeight="1">
      <x:c r="A1081" s="8" t="n">
        <x:v>535</x:v>
      </x:c>
      <x:c r="B1081" s="6" t="n">
        <x:v>45258</x:v>
      </x:c>
      <x:c r="C1081" s="2" t="str">
        <x:v>Товары для дома</x:v>
      </x:c>
      <x:c r="D1081" s="2" t="str">
        <x:v>Полотенце</x:v>
      </x:c>
      <x:c r="E1081" s="7" t="n">
        <x:v>142742.21</x:v>
      </x:c>
      <x:c r="F1081" s="9" t="n">
        <x:v>8</x:v>
      </x:c>
      <x:c r="G1081" s="2" t="str">
        <x:v>Новосибирск</x:v>
      </x:c>
      <x:c r="H1081" s="7" t="n">
        <x:f>E1081*F1081</x:f>
        <x:v>1141937.68</x:v>
      </x:c>
      <x:c r="I1081" s="2" t="str">
        <x:f>TEXT(B1081,"yyyy-mm")</x:f>
        <x:v>2023-11</x:v>
      </x:c>
      <x:c r="J1081" s="8" t="n">
        <x:f>COUNTIFS($H$2:$H$1201,"&gt;"&amp;H1081)+COUNTIFS($H$2:H1081,H1081)</x:f>
        <x:v>51</x:v>
      </x:c>
      <x:c r="K1081" s="1"/>
      <x:c r="L1081" s="1"/>
    </x:row>
    <x:row r="1082" ht="22" customHeight="1">
      <x:c r="A1082" s="8" t="n">
        <x:v>884</x:v>
      </x:c>
      <x:c r="B1082" s="6" t="n">
        <x:v>45259</x:v>
      </x:c>
      <x:c r="C1082" s="2" t="str">
        <x:v>Одежда</x:v>
      </x:c>
      <x:c r="D1082" s="2" t="str">
        <x:v>Джинсы</x:v>
      </x:c>
      <x:c r="E1082" s="7" t="n">
        <x:v>85668.76</x:v>
      </x:c>
      <x:c r="F1082" s="9" t="n">
        <x:v>5</x:v>
      </x:c>
      <x:c r="G1082" s="2" t="str">
        <x:v>Санкт‑Петербург</x:v>
      </x:c>
      <x:c r="H1082" s="7" t="n">
        <x:f>E1082*F1082</x:f>
        <x:v>428343.8</x:v>
      </x:c>
      <x:c r="I1082" s="2" t="str">
        <x:f>TEXT(B1082,"yyyy-mm")</x:f>
        <x:v>2023-11</x:v>
      </x:c>
      <x:c r="J1082" s="8" t="n">
        <x:f>COUNTIFS($H$2:$H$1201,"&gt;"&amp;H1082)+COUNTIFS($H$2:H1082,H1082)</x:f>
        <x:v>486</x:v>
      </x:c>
      <x:c r="K1082" s="1"/>
      <x:c r="L1082" s="1"/>
    </x:row>
    <x:row r="1083" ht="22" customHeight="1">
      <x:c r="A1083" s="8" t="n">
        <x:v>1017</x:v>
      </x:c>
      <x:c r="B1083" s="6" t="n">
        <x:v>45259</x:v>
      </x:c>
      <x:c r="C1083" s="2" t="str">
        <x:v>Товары для дома</x:v>
      </x:c>
      <x:c r="D1083" s="2" t="str">
        <x:v>Полотенце</x:v>
      </x:c>
      <x:c r="E1083" s="7" t="n">
        <x:v>32988.03</x:v>
      </x:c>
      <x:c r="F1083" s="9" t="n">
        <x:v>8</x:v>
      </x:c>
      <x:c r="G1083" s="2" t="str">
        <x:v>Екатеринбург</x:v>
      </x:c>
      <x:c r="H1083" s="7" t="n">
        <x:f>E1083*F1083</x:f>
        <x:v>263904.24</x:v>
      </x:c>
      <x:c r="I1083" s="2" t="str">
        <x:f>TEXT(B1083,"yyyy-mm")</x:f>
        <x:v>2023-11</x:v>
      </x:c>
      <x:c r="J1083" s="8" t="n">
        <x:f>COUNTIFS($H$2:$H$1201,"&gt;"&amp;H1083)+COUNTIFS($H$2:H1083,H1083)</x:f>
        <x:v>680</x:v>
      </x:c>
      <x:c r="K1083" s="1"/>
      <x:c r="L1083" s="1"/>
    </x:row>
    <x:row r="1084" ht="22" customHeight="1">
      <x:c r="A1084" s="8" t="n">
        <x:v>1054</x:v>
      </x:c>
      <x:c r="B1084" s="6" t="n">
        <x:v>45259</x:v>
      </x:c>
      <x:c r="C1084" s="2" t="str">
        <x:v>Продукты</x:v>
      </x:c>
      <x:c r="D1084" s="2" t="str">
        <x:v>Шоколад</x:v>
      </x:c>
      <x:c r="E1084" s="7" t="n">
        <x:v>46343.65</x:v>
      </x:c>
      <x:c r="F1084" s="9" t="n">
        <x:v>3</x:v>
      </x:c>
      <x:c r="G1084" s="2" t="str">
        <x:v>Московская область</x:v>
      </x:c>
      <x:c r="H1084" s="7" t="n">
        <x:f>E1084*F1084</x:f>
        <x:v>139030.95</x:v>
      </x:c>
      <x:c r="I1084" s="2" t="str">
        <x:f>TEXT(B1084,"yyyy-mm")</x:f>
        <x:v>2023-11</x:v>
      </x:c>
      <x:c r="J1084" s="8" t="n">
        <x:f>COUNTIFS($H$2:$H$1201,"&gt;"&amp;H1084)+COUNTIFS($H$2:H1084,H1084)</x:f>
        <x:v>879</x:v>
      </x:c>
      <x:c r="K1084" s="1"/>
      <x:c r="L1084" s="1"/>
    </x:row>
    <x:row r="1085" ht="22" customHeight="1">
      <x:c r="A1085" s="8" t="n">
        <x:v>26</x:v>
      </x:c>
      <x:c r="B1085" s="6" t="n">
        <x:v>45260</x:v>
      </x:c>
      <x:c r="C1085" s="2" t="str">
        <x:v>Одежда</x:v>
      </x:c>
      <x:c r="D1085" s="2" t="str">
        <x:v>Джинсы</x:v>
      </x:c>
      <x:c r="E1085" s="7" t="n">
        <x:v>144655.34</x:v>
      </x:c>
      <x:c r="F1085" s="9" t="n">
        <x:v>9</x:v>
      </x:c>
      <x:c r="G1085" s="2" t="str">
        <x:v>Казань</x:v>
      </x:c>
      <x:c r="H1085" s="7" t="n">
        <x:f>E1085*F1085</x:f>
        <x:v>1301898.06</x:v>
      </x:c>
      <x:c r="I1085" s="2" t="str">
        <x:f>TEXT(B1085,"yyyy-mm")</x:f>
        <x:v>2023-11</x:v>
      </x:c>
      <x:c r="J1085" s="8" t="n">
        <x:f>COUNTIFS($H$2:$H$1201,"&gt;"&amp;H1085)+COUNTIFS($H$2:H1085,H1085)</x:f>
        <x:v>17</x:v>
      </x:c>
      <x:c r="K1085" s="1"/>
      <x:c r="L1085" s="1"/>
    </x:row>
    <x:row r="1086" ht="22" customHeight="1">
      <x:c r="A1086" s="8" t="n">
        <x:v>234</x:v>
      </x:c>
      <x:c r="B1086" s="6" t="n">
        <x:v>45260</x:v>
      </x:c>
      <x:c r="C1086" s="2" t="str">
        <x:v>Товары для дома</x:v>
      </x:c>
      <x:c r="D1086" s="2" t="str">
        <x:v>Плед</x:v>
      </x:c>
      <x:c r="E1086" s="7" t="n">
        <x:v>18152.85</x:v>
      </x:c>
      <x:c r="F1086" s="9" t="n">
        <x:v>6</x:v>
      </x:c>
      <x:c r="G1086" s="2" t="str">
        <x:v>Санкт‑Петербург</x:v>
      </x:c>
      <x:c r="H1086" s="7" t="n">
        <x:f>E1086*F1086</x:f>
        <x:v>108917.09999999999</x:v>
      </x:c>
      <x:c r="I1086" s="2" t="str">
        <x:f>TEXT(B1086,"yyyy-mm")</x:f>
        <x:v>2023-11</x:v>
      </x:c>
      <x:c r="J1086" s="8" t="n">
        <x:f>COUNTIFS($H$2:$H$1201,"&gt;"&amp;H1086)+COUNTIFS($H$2:H1086,H1086)</x:f>
        <x:v>952</x:v>
      </x:c>
      <x:c r="K1086" s="1"/>
      <x:c r="L1086" s="1"/>
    </x:row>
    <x:row r="1087" ht="22" customHeight="1">
      <x:c r="A1087" s="8" t="n">
        <x:v>271</x:v>
      </x:c>
      <x:c r="B1087" s="6" t="n">
        <x:v>45260</x:v>
      </x:c>
      <x:c r="C1087" s="2" t="str">
        <x:v>Товары для дома</x:v>
      </x:c>
      <x:c r="D1087" s="2" t="str">
        <x:v>Полотенце</x:v>
      </x:c>
      <x:c r="E1087" s="7" t="n">
        <x:v>124806.53</x:v>
      </x:c>
      <x:c r="F1087" s="9" t="n">
        <x:v>1</x:v>
      </x:c>
      <x:c r="G1087" s="2" t="str">
        <x:v>Екатеринбург</x:v>
      </x:c>
      <x:c r="H1087" s="7" t="n">
        <x:f>E1087*F1087</x:f>
        <x:v>124806.53</x:v>
      </x:c>
      <x:c r="I1087" s="2" t="str">
        <x:f>TEXT(B1087,"yyyy-mm")</x:f>
        <x:v>2023-11</x:v>
      </x:c>
      <x:c r="J1087" s="8" t="n">
        <x:f>COUNTIFS($H$2:$H$1201,"&gt;"&amp;H1087)+COUNTIFS($H$2:H1087,H1087)</x:f>
        <x:v>915</x:v>
      </x:c>
      <x:c r="K1087" s="1"/>
      <x:c r="L1087" s="1"/>
    </x:row>
    <x:row r="1088" ht="22" customHeight="1">
      <x:c r="A1088" s="8" t="n">
        <x:v>660</x:v>
      </x:c>
      <x:c r="B1088" s="6" t="n">
        <x:v>45260</x:v>
      </x:c>
      <x:c r="C1088" s="2" t="str">
        <x:v>Товары для дома</x:v>
      </x:c>
      <x:c r="D1088" s="2" t="str">
        <x:v>Полотенце</x:v>
      </x:c>
      <x:c r="E1088" s="7" t="n">
        <x:v>26265.72</x:v>
      </x:c>
      <x:c r="F1088" s="9" t="n">
        <x:v>3</x:v>
      </x:c>
      <x:c r="G1088" s="2" t="str">
        <x:v>Казань</x:v>
      </x:c>
      <x:c r="H1088" s="7" t="n">
        <x:f>E1088*F1088</x:f>
        <x:v>78797.16</x:v>
      </x:c>
      <x:c r="I1088" s="2" t="str">
        <x:f>TEXT(B1088,"yyyy-mm")</x:f>
        <x:v>2023-11</x:v>
      </x:c>
      <x:c r="J1088" s="8" t="n">
        <x:f>COUNTIFS($H$2:$H$1201,"&gt;"&amp;H1088)+COUNTIFS($H$2:H1088,H1088)</x:f>
        <x:v>1019</x:v>
      </x:c>
      <x:c r="K1088" s="1"/>
      <x:c r="L1088" s="1"/>
    </x:row>
    <x:row r="1089" ht="22" customHeight="1">
      <x:c r="A1089" s="8" t="n">
        <x:v>670</x:v>
      </x:c>
      <x:c r="B1089" s="6" t="n">
        <x:v>45260</x:v>
      </x:c>
      <x:c r="C1089" s="2" t="str">
        <x:v>Электроника</x:v>
      </x:c>
      <x:c r="D1089" s="2" t="str">
        <x:v>Планшет</x:v>
      </x:c>
      <x:c r="E1089" s="7" t="n">
        <x:v>76819.68</x:v>
      </x:c>
      <x:c r="F1089" s="9" t="n">
        <x:v>7</x:v>
      </x:c>
      <x:c r="G1089" s="2" t="str">
        <x:v>Новосибирск</x:v>
      </x:c>
      <x:c r="H1089" s="7" t="n">
        <x:f>E1089*F1089</x:f>
        <x:v>537737.76</x:v>
      </x:c>
      <x:c r="I1089" s="2" t="str">
        <x:f>TEXT(B1089,"yyyy-mm")</x:f>
        <x:v>2023-11</x:v>
      </x:c>
      <x:c r="J1089" s="8" t="n">
        <x:f>COUNTIFS($H$2:$H$1201,"&gt;"&amp;H1089)+COUNTIFS($H$2:H1089,H1089)</x:f>
        <x:v>380</x:v>
      </x:c>
      <x:c r="K1089" s="1"/>
      <x:c r="L1089" s="1"/>
    </x:row>
    <x:row r="1090" ht="22" customHeight="1">
      <x:c r="A1090" s="8" t="n">
        <x:v>112</x:v>
      </x:c>
      <x:c r="B1090" s="6" t="n">
        <x:v>45261</x:v>
      </x:c>
      <x:c r="C1090" s="2" t="str">
        <x:v>Электроника</x:v>
      </x:c>
      <x:c r="D1090" s="2" t="str">
        <x:v>Ноутбук</x:v>
      </x:c>
      <x:c r="E1090" s="7" t="n">
        <x:v>63371.3</x:v>
      </x:c>
      <x:c r="F1090" s="9" t="n">
        <x:v>6</x:v>
      </x:c>
      <x:c r="G1090" s="2" t="str">
        <x:v>Санкт‑Петербург</x:v>
      </x:c>
      <x:c r="H1090" s="7" t="n">
        <x:f>E1090*F1090</x:f>
        <x:v>380227.80000000005</x:v>
      </x:c>
      <x:c r="I1090" s="2" t="str">
        <x:f>TEXT(B1090,"yyyy-mm")</x:f>
        <x:v>2023-12</x:v>
      </x:c>
      <x:c r="J1090" s="8" t="n">
        <x:f>COUNTIFS($H$2:$H$1201,"&gt;"&amp;H1090)+COUNTIFS($H$2:H1090,H1090)</x:f>
        <x:v>548</x:v>
      </x:c>
      <x:c r="K1090" s="1"/>
      <x:c r="L1090" s="1"/>
    </x:row>
    <x:row r="1091" ht="22" customHeight="1">
      <x:c r="A1091" s="8" t="n">
        <x:v>513</x:v>
      </x:c>
      <x:c r="B1091" s="6" t="n">
        <x:v>45261</x:v>
      </x:c>
      <x:c r="C1091" s="2" t="str">
        <x:v>Товары для дома</x:v>
      </x:c>
      <x:c r="D1091" s="2" t="str">
        <x:v>Кружка</x:v>
      </x:c>
      <x:c r="E1091" s="7" t="n">
        <x:v>14014.57</x:v>
      </x:c>
      <x:c r="F1091" s="9" t="n">
        <x:v>10</x:v>
      </x:c>
      <x:c r="G1091" s="2" t="str">
        <x:v>Московская область</x:v>
      </x:c>
      <x:c r="H1091" s="7" t="n">
        <x:f>E1091*F1091</x:f>
        <x:v>140145.7</x:v>
      </x:c>
      <x:c r="I1091" s="2" t="str">
        <x:f>TEXT(B1091,"yyyy-mm")</x:f>
        <x:v>2023-12</x:v>
      </x:c>
      <x:c r="J1091" s="8" t="n">
        <x:f>COUNTIFS($H$2:$H$1201,"&gt;"&amp;H1091)+COUNTIFS($H$2:H1091,H1091)</x:f>
        <x:v>876</x:v>
      </x:c>
      <x:c r="K1091" s="1"/>
      <x:c r="L1091" s="1"/>
    </x:row>
    <x:row r="1092" ht="22" customHeight="1">
      <x:c r="A1092" s="8" t="n">
        <x:v>961</x:v>
      </x:c>
      <x:c r="B1092" s="6" t="n">
        <x:v>45261</x:v>
      </x:c>
      <x:c r="C1092" s="2" t="str">
        <x:v>Продукты</x:v>
      </x:c>
      <x:c r="D1092" s="2" t="str">
        <x:v>Шоколад</x:v>
      </x:c>
      <x:c r="E1092" s="7" t="n">
        <x:v>91339.75</x:v>
      </x:c>
      <x:c r="F1092" s="9" t="n">
        <x:v>10</x:v>
      </x:c>
      <x:c r="G1092" s="2" t="str">
        <x:v>Москва</x:v>
      </x:c>
      <x:c r="H1092" s="7" t="n">
        <x:f>E1092*F1092</x:f>
        <x:v>913397.5</x:v>
      </x:c>
      <x:c r="I1092" s="2" t="str">
        <x:f>TEXT(B1092,"yyyy-mm")</x:f>
        <x:v>2023-12</x:v>
      </x:c>
      <x:c r="J1092" s="8" t="n">
        <x:f>COUNTIFS($H$2:$H$1201,"&gt;"&amp;H1092)+COUNTIFS($H$2:H1092,H1092)</x:f>
        <x:v>131</x:v>
      </x:c>
      <x:c r="K1092" s="1"/>
      <x:c r="L1092" s="1"/>
    </x:row>
    <x:row r="1093" ht="22" customHeight="1">
      <x:c r="A1093" s="8" t="n">
        <x:v>276</x:v>
      </x:c>
      <x:c r="B1093" s="6" t="n">
        <x:v>45262</x:v>
      </x:c>
      <x:c r="C1093" s="2" t="str">
        <x:v>Товары для дома</x:v>
      </x:c>
      <x:c r="D1093" s="2" t="str">
        <x:v>Полотенце</x:v>
      </x:c>
      <x:c r="E1093" s="7" t="n">
        <x:v>14023.46</x:v>
      </x:c>
      <x:c r="F1093" s="9" t="n">
        <x:v>9</x:v>
      </x:c>
      <x:c r="G1093" s="2" t="str">
        <x:v>Московская область</x:v>
      </x:c>
      <x:c r="H1093" s="7" t="n">
        <x:f>E1093*F1093</x:f>
        <x:v>126211.13999999998</x:v>
      </x:c>
      <x:c r="I1093" s="2" t="str">
        <x:f>TEXT(B1093,"yyyy-mm")</x:f>
        <x:v>2023-12</x:v>
      </x:c>
      <x:c r="J1093" s="8" t="n">
        <x:f>COUNTIFS($H$2:$H$1201,"&gt;"&amp;H1093)+COUNTIFS($H$2:H1093,H1093)</x:f>
        <x:v>912</x:v>
      </x:c>
      <x:c r="K1093" s="1"/>
      <x:c r="L1093" s="1"/>
    </x:row>
    <x:row r="1094" ht="22" customHeight="1">
      <x:c r="A1094" s="8" t="n">
        <x:v>551</x:v>
      </x:c>
      <x:c r="B1094" s="6" t="n">
        <x:v>45262</x:v>
      </x:c>
      <x:c r="C1094" s="2" t="str">
        <x:v>Товары для дома</x:v>
      </x:c>
      <x:c r="D1094" s="2" t="str">
        <x:v>Подушка</x:v>
      </x:c>
      <x:c r="E1094" s="7" t="n">
        <x:v>35577.99</x:v>
      </x:c>
      <x:c r="F1094" s="9" t="n">
        <x:v>7</x:v>
      </x:c>
      <x:c r="G1094" s="2" t="str">
        <x:v>Екатеринбург</x:v>
      </x:c>
      <x:c r="H1094" s="7" t="n">
        <x:f>E1094*F1094</x:f>
        <x:v>249045.93</x:v>
      </x:c>
      <x:c r="I1094" s="2" t="str">
        <x:f>TEXT(B1094,"yyyy-mm")</x:f>
        <x:v>2023-12</x:v>
      </x:c>
      <x:c r="J1094" s="8" t="n">
        <x:f>COUNTIFS($H$2:$H$1201,"&gt;"&amp;H1094)+COUNTIFS($H$2:H1094,H1094)</x:f>
        <x:v>705</x:v>
      </x:c>
      <x:c r="K1094" s="1"/>
      <x:c r="L1094" s="1"/>
    </x:row>
    <x:row r="1095" ht="22" customHeight="1">
      <x:c r="A1095" s="8" t="n">
        <x:v>983</x:v>
      </x:c>
      <x:c r="B1095" s="6" t="n">
        <x:v>45262</x:v>
      </x:c>
      <x:c r="C1095" s="2" t="str">
        <x:v>Товары для дома</x:v>
      </x:c>
      <x:c r="D1095" s="2" t="str">
        <x:v>Полотенце</x:v>
      </x:c>
      <x:c r="E1095" s="7" t="n">
        <x:v>87452.28</x:v>
      </x:c>
      <x:c r="F1095" s="9" t="n">
        <x:v>5</x:v>
      </x:c>
      <x:c r="G1095" s="2" t="str">
        <x:v>Екатеринбург</x:v>
      </x:c>
      <x:c r="H1095" s="7" t="n">
        <x:f>E1095*F1095</x:f>
        <x:v>437261.4</x:v>
      </x:c>
      <x:c r="I1095" s="2" t="str">
        <x:f>TEXT(B1095,"yyyy-mm")</x:f>
        <x:v>2023-12</x:v>
      </x:c>
      <x:c r="J1095" s="8" t="n">
        <x:f>COUNTIFS($H$2:$H$1201,"&gt;"&amp;H1095)+COUNTIFS($H$2:H1095,H1095)</x:f>
        <x:v>473</x:v>
      </x:c>
      <x:c r="K1095" s="1"/>
      <x:c r="L1095" s="1"/>
    </x:row>
    <x:row r="1096" ht="22" customHeight="1">
      <x:c r="A1096" s="8" t="n">
        <x:v>1114</x:v>
      </x:c>
      <x:c r="B1096" s="6" t="n">
        <x:v>45262</x:v>
      </x:c>
      <x:c r="C1096" s="2" t="str">
        <x:v>Продукты</x:v>
      </x:c>
      <x:c r="D1096" s="2" t="str">
        <x:v>Хлеб</x:v>
      </x:c>
      <x:c r="E1096" s="7" t="n">
        <x:v>111431.05</x:v>
      </x:c>
      <x:c r="F1096" s="9" t="n">
        <x:v>6</x:v>
      </x:c>
      <x:c r="G1096" s="2" t="str">
        <x:v>Екатеринбург</x:v>
      </x:c>
      <x:c r="H1096" s="7" t="n">
        <x:f>E1096*F1096</x:f>
        <x:v>668586.3</x:v>
      </x:c>
      <x:c r="I1096" s="2" t="str">
        <x:f>TEXT(B1096,"yyyy-mm")</x:f>
        <x:v>2023-12</x:v>
      </x:c>
      <x:c r="J1096" s="8" t="n">
        <x:f>COUNTIFS($H$2:$H$1201,"&gt;"&amp;H1096)+COUNTIFS($H$2:H1096,H1096)</x:f>
        <x:v>287</x:v>
      </x:c>
      <x:c r="K1096" s="1"/>
      <x:c r="L1096" s="1"/>
    </x:row>
    <x:row r="1097" ht="22" customHeight="1">
      <x:c r="A1097" s="8" t="n">
        <x:v>375</x:v>
      </x:c>
      <x:c r="B1097" s="6" t="n">
        <x:v>45263</x:v>
      </x:c>
      <x:c r="C1097" s="2" t="str">
        <x:v>Одежда</x:v>
      </x:c>
      <x:c r="D1097" s="2" t="str">
        <x:v>Кроссовки</x:v>
      </x:c>
      <x:c r="E1097" s="7" t="n">
        <x:v>52058.65</x:v>
      </x:c>
      <x:c r="F1097" s="9" t="n">
        <x:v>4</x:v>
      </x:c>
      <x:c r="G1097" s="2" t="str">
        <x:v>Екатеринбург</x:v>
      </x:c>
      <x:c r="H1097" s="7" t="n">
        <x:f>E1097*F1097</x:f>
        <x:v>208234.6</x:v>
      </x:c>
      <x:c r="I1097" s="2" t="str">
        <x:f>TEXT(B1097,"yyyy-mm")</x:f>
        <x:v>2023-12</x:v>
      </x:c>
      <x:c r="J1097" s="8" t="n">
        <x:f>COUNTIFS($H$2:$H$1201,"&gt;"&amp;H1097)+COUNTIFS($H$2:H1097,H1097)</x:f>
        <x:v>779</x:v>
      </x:c>
      <x:c r="K1097" s="1"/>
      <x:c r="L1097" s="1"/>
    </x:row>
    <x:row r="1098" ht="22" customHeight="1">
      <x:c r="A1098" s="8" t="n">
        <x:v>496</x:v>
      </x:c>
      <x:c r="B1098" s="6" t="n">
        <x:v>45263</x:v>
      </x:c>
      <x:c r="C1098" s="2" t="str">
        <x:v>Товары для дома</x:v>
      </x:c>
      <x:c r="D1098" s="2" t="str">
        <x:v>Подушка</x:v>
      </x:c>
      <x:c r="E1098" s="7" t="n">
        <x:v>80827.14</x:v>
      </x:c>
      <x:c r="F1098" s="9" t="n">
        <x:v>2</x:v>
      </x:c>
      <x:c r="G1098" s="2" t="str">
        <x:v>Казань</x:v>
      </x:c>
      <x:c r="H1098" s="7" t="n">
        <x:f>E1098*F1098</x:f>
        <x:v>161654.28</x:v>
      </x:c>
      <x:c r="I1098" s="2" t="str">
        <x:f>TEXT(B1098,"yyyy-mm")</x:f>
        <x:v>2023-12</x:v>
      </x:c>
      <x:c r="J1098" s="8" t="n">
        <x:f>COUNTIFS($H$2:$H$1201,"&gt;"&amp;H1098)+COUNTIFS($H$2:H1098,H1098)</x:f>
        <x:v>837</x:v>
      </x:c>
      <x:c r="K1098" s="1"/>
      <x:c r="L1098" s="1"/>
    </x:row>
    <x:row r="1099" ht="22" customHeight="1">
      <x:c r="A1099" s="8" t="n">
        <x:v>613</x:v>
      </x:c>
      <x:c r="B1099" s="6" t="n">
        <x:v>45263</x:v>
      </x:c>
      <x:c r="C1099" s="2" t="str">
        <x:v>Одежда</x:v>
      </x:c>
      <x:c r="D1099" s="2" t="str">
        <x:v>Кроссовки</x:v>
      </x:c>
      <x:c r="E1099" s="7" t="n">
        <x:v>97891.69</x:v>
      </x:c>
      <x:c r="F1099" s="9" t="n">
        <x:v>1</x:v>
      </x:c>
      <x:c r="G1099" s="2" t="str">
        <x:v>Новосибирск</x:v>
      </x:c>
      <x:c r="H1099" s="7" t="n">
        <x:f>E1099*F1099</x:f>
        <x:v>97891.69</x:v>
      </x:c>
      <x:c r="I1099" s="2" t="str">
        <x:f>TEXT(B1099,"yyyy-mm")</x:f>
        <x:v>2023-12</x:v>
      </x:c>
      <x:c r="J1099" s="8" t="n">
        <x:f>COUNTIFS($H$2:$H$1201,"&gt;"&amp;H1099)+COUNTIFS($H$2:H1099,H1099)</x:f>
        <x:v>974</x:v>
      </x:c>
      <x:c r="K1099" s="1"/>
      <x:c r="L1099" s="1"/>
    </x:row>
    <x:row r="1100" ht="22" customHeight="1">
      <x:c r="A1100" s="8" t="n">
        <x:v>1157</x:v>
      </x:c>
      <x:c r="B1100" s="6" t="n">
        <x:v>45263</x:v>
      </x:c>
      <x:c r="C1100" s="2" t="str">
        <x:v>Товары для дома</x:v>
      </x:c>
      <x:c r="D1100" s="2" t="str">
        <x:v>Подушка</x:v>
      </x:c>
      <x:c r="E1100" s="7" t="n">
        <x:v>97419.02</x:v>
      </x:c>
      <x:c r="F1100" s="9" t="n">
        <x:v>9</x:v>
      </x:c>
      <x:c r="G1100" s="2" t="str">
        <x:v>Москва</x:v>
      </x:c>
      <x:c r="H1100" s="7" t="n">
        <x:f>E1100*F1100</x:f>
        <x:v>876771.18</x:v>
      </x:c>
      <x:c r="I1100" s="2" t="str">
        <x:f>TEXT(B1100,"yyyy-mm")</x:f>
        <x:v>2023-12</x:v>
      </x:c>
      <x:c r="J1100" s="8" t="n">
        <x:f>COUNTIFS($H$2:$H$1201,"&gt;"&amp;H1100)+COUNTIFS($H$2:H1100,H1100)</x:f>
        <x:v>145</x:v>
      </x:c>
      <x:c r="K1100" s="1"/>
      <x:c r="L1100" s="1"/>
    </x:row>
    <x:row r="1101" ht="22" customHeight="1">
      <x:c r="A1101" s="8" t="n">
        <x:v>321</x:v>
      </x:c>
      <x:c r="B1101" s="6" t="n">
        <x:v>45264</x:v>
      </x:c>
      <x:c r="C1101" s="2" t="str">
        <x:v>Одежда</x:v>
      </x:c>
      <x:c r="D1101" s="2" t="str">
        <x:v>Джинсы</x:v>
      </x:c>
      <x:c r="E1101" s="7" t="n">
        <x:v>65109.41</x:v>
      </x:c>
      <x:c r="F1101" s="9" t="n">
        <x:v>2</x:v>
      </x:c>
      <x:c r="G1101" s="2" t="str">
        <x:v>Екатеринбург</x:v>
      </x:c>
      <x:c r="H1101" s="7" t="n">
        <x:f>E1101*F1101</x:f>
        <x:v>130218.82</x:v>
      </x:c>
      <x:c r="I1101" s="2" t="str">
        <x:f>TEXT(B1101,"yyyy-mm")</x:f>
        <x:v>2023-12</x:v>
      </x:c>
      <x:c r="J1101" s="8" t="n">
        <x:f>COUNTIFS($H$2:$H$1201,"&gt;"&amp;H1101)+COUNTIFS($H$2:H1101,H1101)</x:f>
        <x:v>902</x:v>
      </x:c>
      <x:c r="K1101" s="1"/>
      <x:c r="L1101" s="1"/>
    </x:row>
    <x:row r="1102" ht="22" customHeight="1">
      <x:c r="A1102" s="8" t="n">
        <x:v>681</x:v>
      </x:c>
      <x:c r="B1102" s="6" t="n">
        <x:v>45264</x:v>
      </x:c>
      <x:c r="C1102" s="2" t="str">
        <x:v>Одежда</x:v>
      </x:c>
      <x:c r="D1102" s="2" t="str">
        <x:v>Футболка</x:v>
      </x:c>
      <x:c r="E1102" s="7" t="n">
        <x:v>77398.57</x:v>
      </x:c>
      <x:c r="F1102" s="9" t="n">
        <x:v>7</x:v>
      </x:c>
      <x:c r="G1102" s="2" t="str">
        <x:v>Московская область</x:v>
      </x:c>
      <x:c r="H1102" s="7" t="n">
        <x:f>E1102*F1102</x:f>
        <x:v>541789.99</x:v>
      </x:c>
      <x:c r="I1102" s="2" t="str">
        <x:f>TEXT(B1102,"yyyy-mm")</x:f>
        <x:v>2023-12</x:v>
      </x:c>
      <x:c r="J1102" s="8" t="n">
        <x:f>COUNTIFS($H$2:$H$1201,"&gt;"&amp;H1102)+COUNTIFS($H$2:H1102,H1102)</x:f>
        <x:v>374</x:v>
      </x:c>
      <x:c r="K1102" s="1"/>
      <x:c r="L1102" s="1"/>
    </x:row>
    <x:row r="1103" ht="22" customHeight="1">
      <x:c r="A1103" s="8" t="n">
        <x:v>956</x:v>
      </x:c>
      <x:c r="B1103" s="6" t="n">
        <x:v>45264</x:v>
      </x:c>
      <x:c r="C1103" s="2" t="str">
        <x:v>Товары для дома</x:v>
      </x:c>
      <x:c r="D1103" s="2" t="str">
        <x:v>Полотенце</x:v>
      </x:c>
      <x:c r="E1103" s="7" t="n">
        <x:v>115001.95</x:v>
      </x:c>
      <x:c r="F1103" s="9" t="n">
        <x:v>7</x:v>
      </x:c>
      <x:c r="G1103" s="2" t="str">
        <x:v>Новосибирск</x:v>
      </x:c>
      <x:c r="H1103" s="7" t="n">
        <x:f>E1103*F1103</x:f>
        <x:v>805013.65</x:v>
      </x:c>
      <x:c r="I1103" s="2" t="str">
        <x:f>TEXT(B1103,"yyyy-mm")</x:f>
        <x:v>2023-12</x:v>
      </x:c>
      <x:c r="J1103" s="8" t="n">
        <x:f>COUNTIFS($H$2:$H$1201,"&gt;"&amp;H1103)+COUNTIFS($H$2:H1103,H1103)</x:f>
        <x:v>191</x:v>
      </x:c>
      <x:c r="K1103" s="1"/>
      <x:c r="L1103" s="1"/>
    </x:row>
    <x:row r="1104" ht="22" customHeight="1">
      <x:c r="A1104" s="8" t="n">
        <x:v>1001</x:v>
      </x:c>
      <x:c r="B1104" s="6" t="n">
        <x:v>45264</x:v>
      </x:c>
      <x:c r="C1104" s="2" t="str">
        <x:v>Электроника</x:v>
      </x:c>
      <x:c r="D1104" s="2" t="str">
        <x:v>Ноутбук</x:v>
      </x:c>
      <x:c r="E1104" s="7" t="n">
        <x:v>79385.04</x:v>
      </x:c>
      <x:c r="F1104" s="9" t="n">
        <x:v>1</x:v>
      </x:c>
      <x:c r="G1104" s="2" t="str">
        <x:v>Екатеринбург</x:v>
      </x:c>
      <x:c r="H1104" s="7" t="n">
        <x:f>E1104*F1104</x:f>
        <x:v>79385.04</x:v>
      </x:c>
      <x:c r="I1104" s="2" t="str">
        <x:f>TEXT(B1104,"yyyy-mm")</x:f>
        <x:v>2023-12</x:v>
      </x:c>
      <x:c r="J1104" s="8" t="n">
        <x:f>COUNTIFS($H$2:$H$1201,"&gt;"&amp;H1104)+COUNTIFS($H$2:H1104,H1104)</x:f>
        <x:v>1018</x:v>
      </x:c>
      <x:c r="K1104" s="1"/>
      <x:c r="L1104" s="1"/>
    </x:row>
    <x:row r="1105" ht="22" customHeight="1">
      <x:c r="A1105" s="8" t="n">
        <x:v>604</x:v>
      </x:c>
      <x:c r="B1105" s="6" t="n">
        <x:v>45265</x:v>
      </x:c>
      <x:c r="C1105" s="2" t="str">
        <x:v>Товары для дома</x:v>
      </x:c>
      <x:c r="D1105" s="2" t="str">
        <x:v>Кружка</x:v>
      </x:c>
      <x:c r="E1105" s="7" t="n">
        <x:v>83540.6</x:v>
      </x:c>
      <x:c r="F1105" s="9" t="n">
        <x:v>1</x:v>
      </x:c>
      <x:c r="G1105" s="2" t="str">
        <x:v>Санкт‑Петербург</x:v>
      </x:c>
      <x:c r="H1105" s="7" t="n">
        <x:f>E1105*F1105</x:f>
        <x:v>83540.6</x:v>
      </x:c>
      <x:c r="I1105" s="2" t="str">
        <x:f>TEXT(B1105,"yyyy-mm")</x:f>
        <x:v>2023-12</x:v>
      </x:c>
      <x:c r="J1105" s="8" t="n">
        <x:f>COUNTIFS($H$2:$H$1201,"&gt;"&amp;H1105)+COUNTIFS($H$2:H1105,H1105)</x:f>
        <x:v>1007</x:v>
      </x:c>
      <x:c r="K1105" s="1"/>
      <x:c r="L1105" s="1"/>
    </x:row>
    <x:row r="1106" ht="22" customHeight="1">
      <x:c r="A1106" s="8" t="n">
        <x:v>430</x:v>
      </x:c>
      <x:c r="B1106" s="6" t="n">
        <x:v>45266</x:v>
      </x:c>
      <x:c r="C1106" s="2" t="str">
        <x:v>Электроника</x:v>
      </x:c>
      <x:c r="D1106" s="2" t="str">
        <x:v>Наушники</x:v>
      </x:c>
      <x:c r="E1106" s="7" t="n">
        <x:v>143008.21</x:v>
      </x:c>
      <x:c r="F1106" s="9" t="n">
        <x:v>3</x:v>
      </x:c>
      <x:c r="G1106" s="2" t="str">
        <x:v>Московская область</x:v>
      </x:c>
      <x:c r="H1106" s="7" t="n">
        <x:f>E1106*F1106</x:f>
        <x:v>429024.63</x:v>
      </x:c>
      <x:c r="I1106" s="2" t="str">
        <x:f>TEXT(B1106,"yyyy-mm")</x:f>
        <x:v>2023-12</x:v>
      </x:c>
      <x:c r="J1106" s="8" t="n">
        <x:f>COUNTIFS($H$2:$H$1201,"&gt;"&amp;H1106)+COUNTIFS($H$2:H1106,H1106)</x:f>
        <x:v>485</x:v>
      </x:c>
      <x:c r="K1106" s="1"/>
      <x:c r="L1106" s="1"/>
    </x:row>
    <x:row r="1107" ht="22" customHeight="1">
      <x:c r="A1107" s="8" t="n">
        <x:v>714</x:v>
      </x:c>
      <x:c r="B1107" s="6" t="n">
        <x:v>45266</x:v>
      </x:c>
      <x:c r="C1107" s="2" t="str">
        <x:v>Товары для дома</x:v>
      </x:c>
      <x:c r="D1107" s="2" t="str">
        <x:v>Кружка</x:v>
      </x:c>
      <x:c r="E1107" s="7" t="n">
        <x:v>136930.18</x:v>
      </x:c>
      <x:c r="F1107" s="9" t="n">
        <x:v>3</x:v>
      </x:c>
      <x:c r="G1107" s="2" t="str">
        <x:v>Новосибирск</x:v>
      </x:c>
      <x:c r="H1107" s="7" t="n">
        <x:f>E1107*F1107</x:f>
        <x:v>410790.54</x:v>
      </x:c>
      <x:c r="I1107" s="2" t="str">
        <x:f>TEXT(B1107,"yyyy-mm")</x:f>
        <x:v>2023-12</x:v>
      </x:c>
      <x:c r="J1107" s="8" t="n">
        <x:f>COUNTIFS($H$2:$H$1201,"&gt;"&amp;H1107)+COUNTIFS($H$2:H1107,H1107)</x:f>
        <x:v>505</x:v>
      </x:c>
      <x:c r="K1107" s="1"/>
      <x:c r="L1107" s="1"/>
    </x:row>
    <x:row r="1108" ht="22" customHeight="1">
      <x:c r="A1108" s="8" t="n">
        <x:v>850</x:v>
      </x:c>
      <x:c r="B1108" s="6" t="n">
        <x:v>45266</x:v>
      </x:c>
      <x:c r="C1108" s="2" t="str">
        <x:v>Товары для дома</x:v>
      </x:c>
      <x:c r="D1108" s="2" t="str">
        <x:v>Полотенце</x:v>
      </x:c>
      <x:c r="E1108" s="7" t="n">
        <x:v>4062.89</x:v>
      </x:c>
      <x:c r="F1108" s="9" t="n">
        <x:v>7</x:v>
      </x:c>
      <x:c r="G1108" s="2" t="str">
        <x:v>Новосибирск</x:v>
      </x:c>
      <x:c r="H1108" s="7" t="n">
        <x:f>E1108*F1108</x:f>
        <x:v>28440.23</x:v>
      </x:c>
      <x:c r="I1108" s="2" t="str">
        <x:f>TEXT(B1108,"yyyy-mm")</x:f>
        <x:v>2023-12</x:v>
      </x:c>
      <x:c r="J1108" s="8" t="n">
        <x:f>COUNTIFS($H$2:$H$1201,"&gt;"&amp;H1108)+COUNTIFS($H$2:H1108,H1108)</x:f>
        <x:v>1133</x:v>
      </x:c>
      <x:c r="K1108" s="1"/>
      <x:c r="L1108" s="1"/>
    </x:row>
    <x:row r="1109" ht="22" customHeight="1">
      <x:c r="A1109" s="8" t="n">
        <x:v>1040</x:v>
      </x:c>
      <x:c r="B1109" s="6" t="n">
        <x:v>45266</x:v>
      </x:c>
      <x:c r="C1109" s="2" t="str">
        <x:v>Товары для дома</x:v>
      </x:c>
      <x:c r="D1109" s="2" t="str">
        <x:v>Полотенце</x:v>
      </x:c>
      <x:c r="E1109" s="7" t="n">
        <x:v>127999.94</x:v>
      </x:c>
      <x:c r="F1109" s="9" t="n">
        <x:v>4</x:v>
      </x:c>
      <x:c r="G1109" s="2" t="str">
        <x:v>Екатеринбург</x:v>
      </x:c>
      <x:c r="H1109" s="7" t="n">
        <x:f>E1109*F1109</x:f>
        <x:v>511999.76</x:v>
      </x:c>
      <x:c r="I1109" s="2" t="str">
        <x:f>TEXT(B1109,"yyyy-mm")</x:f>
        <x:v>2023-12</x:v>
      </x:c>
      <x:c r="J1109" s="8" t="n">
        <x:f>COUNTIFS($H$2:$H$1201,"&gt;"&amp;H1109)+COUNTIFS($H$2:H1109,H1109)</x:f>
        <x:v>400</x:v>
      </x:c>
      <x:c r="K1109" s="1"/>
      <x:c r="L1109" s="1"/>
    </x:row>
    <x:row r="1110" ht="22" customHeight="1">
      <x:c r="A1110" s="8" t="n">
        <x:v>162</x:v>
      </x:c>
      <x:c r="B1110" s="6" t="n">
        <x:v>45267</x:v>
      </x:c>
      <x:c r="C1110" s="2" t="str">
        <x:v>Электроника</x:v>
      </x:c>
      <x:c r="D1110" s="2" t="str">
        <x:v>Наушники</x:v>
      </x:c>
      <x:c r="E1110" s="7" t="n">
        <x:v>48575.02</x:v>
      </x:c>
      <x:c r="F1110" s="9" t="n">
        <x:v>8</x:v>
      </x:c>
      <x:c r="G1110" s="2" t="str">
        <x:v>Новосибирск</x:v>
      </x:c>
      <x:c r="H1110" s="7" t="n">
        <x:f>E1110*F1110</x:f>
        <x:v>388600.16</x:v>
      </x:c>
      <x:c r="I1110" s="2" t="str">
        <x:f>TEXT(B1110,"yyyy-mm")</x:f>
        <x:v>2023-12</x:v>
      </x:c>
      <x:c r="J1110" s="8" t="n">
        <x:f>COUNTIFS($H$2:$H$1201,"&gt;"&amp;H1110)+COUNTIFS($H$2:H1110,H1110)</x:f>
        <x:v>539</x:v>
      </x:c>
      <x:c r="K1110" s="1"/>
      <x:c r="L1110" s="1"/>
    </x:row>
    <x:row r="1111" ht="22" customHeight="1">
      <x:c r="A1111" s="8" t="n">
        <x:v>270</x:v>
      </x:c>
      <x:c r="B1111" s="6" t="n">
        <x:v>45267</x:v>
      </x:c>
      <x:c r="C1111" s="2" t="str">
        <x:v>Товары для дома</x:v>
      </x:c>
      <x:c r="D1111" s="2" t="str">
        <x:v>Кружка</x:v>
      </x:c>
      <x:c r="E1111" s="7" t="n">
        <x:v>56110.12</x:v>
      </x:c>
      <x:c r="F1111" s="9" t="n">
        <x:v>2</x:v>
      </x:c>
      <x:c r="G1111" s="2" t="str">
        <x:v>Москва</x:v>
      </x:c>
      <x:c r="H1111" s="7" t="n">
        <x:f>E1111*F1111</x:f>
        <x:v>112220.24</x:v>
      </x:c>
      <x:c r="I1111" s="2" t="str">
        <x:f>TEXT(B1111,"yyyy-mm")</x:f>
        <x:v>2023-12</x:v>
      </x:c>
      <x:c r="J1111" s="8" t="n">
        <x:f>COUNTIFS($H$2:$H$1201,"&gt;"&amp;H1111)+COUNTIFS($H$2:H1111,H1111)</x:f>
        <x:v>946</x:v>
      </x:c>
      <x:c r="K1111" s="1"/>
      <x:c r="L1111" s="1"/>
    </x:row>
    <x:row r="1112" ht="22" customHeight="1">
      <x:c r="A1112" s="8" t="n">
        <x:v>417</x:v>
      </x:c>
      <x:c r="B1112" s="6" t="n">
        <x:v>45267</x:v>
      </x:c>
      <x:c r="C1112" s="2" t="str">
        <x:v>Электроника</x:v>
      </x:c>
      <x:c r="D1112" s="2" t="str">
        <x:v>Планшет</x:v>
      </x:c>
      <x:c r="E1112" s="7" t="n">
        <x:v>30606.26</x:v>
      </x:c>
      <x:c r="F1112" s="9" t="n">
        <x:v>7</x:v>
      </x:c>
      <x:c r="G1112" s="2" t="str">
        <x:v>Санкт‑Петербург</x:v>
      </x:c>
      <x:c r="H1112" s="7" t="n">
        <x:f>E1112*F1112</x:f>
        <x:v>214243.81999999998</x:v>
      </x:c>
      <x:c r="I1112" s="2" t="str">
        <x:f>TEXT(B1112,"yyyy-mm")</x:f>
        <x:v>2023-12</x:v>
      </x:c>
      <x:c r="J1112" s="8" t="n">
        <x:f>COUNTIFS($H$2:$H$1201,"&gt;"&amp;H1112)+COUNTIFS($H$2:H1112,H1112)</x:f>
        <x:v>768</x:v>
      </x:c>
      <x:c r="K1112" s="1"/>
      <x:c r="L1112" s="1"/>
    </x:row>
    <x:row r="1113" ht="22" customHeight="1">
      <x:c r="A1113" s="8" t="n">
        <x:v>444</x:v>
      </x:c>
      <x:c r="B1113" s="6" t="n">
        <x:v>45267</x:v>
      </x:c>
      <x:c r="C1113" s="2" t="str">
        <x:v>Продукты</x:v>
      </x:c>
      <x:c r="D1113" s="2" t="str">
        <x:v>Молоко</x:v>
      </x:c>
      <x:c r="E1113" s="7" t="n">
        <x:v>10398.43</x:v>
      </x:c>
      <x:c r="F1113" s="9" t="n">
        <x:v>6</x:v>
      </x:c>
      <x:c r="G1113" s="2" t="str">
        <x:v>Санкт‑Петербург</x:v>
      </x:c>
      <x:c r="H1113" s="7" t="n">
        <x:f>E1113*F1113</x:f>
        <x:v>62390.58</x:v>
      </x:c>
      <x:c r="I1113" s="2" t="str">
        <x:f>TEXT(B1113,"yyyy-mm")</x:f>
        <x:v>2023-12</x:v>
      </x:c>
      <x:c r="J1113" s="8" t="n">
        <x:f>COUNTIFS($H$2:$H$1201,"&gt;"&amp;H1113)+COUNTIFS($H$2:H1113,H1113)</x:f>
        <x:v>1052</x:v>
      </x:c>
      <x:c r="K1113" s="1"/>
      <x:c r="L1113" s="1"/>
    </x:row>
    <x:row r="1114" ht="22" customHeight="1">
      <x:c r="A1114" s="8" t="n">
        <x:v>225</x:v>
      </x:c>
      <x:c r="B1114" s="6" t="n">
        <x:v>45268</x:v>
      </x:c>
      <x:c r="C1114" s="2" t="str">
        <x:v>Электроника</x:v>
      </x:c>
      <x:c r="D1114" s="2" t="str">
        <x:v>Планшет</x:v>
      </x:c>
      <x:c r="E1114" s="7" t="n">
        <x:v>95407.23</x:v>
      </x:c>
      <x:c r="F1114" s="9" t="n">
        <x:v>2</x:v>
      </x:c>
      <x:c r="G1114" s="2" t="str">
        <x:v>Екатеринбург</x:v>
      </x:c>
      <x:c r="H1114" s="7" t="n">
        <x:f>E1114*F1114</x:f>
        <x:v>190814.46</x:v>
      </x:c>
      <x:c r="I1114" s="2" t="str">
        <x:f>TEXT(B1114,"yyyy-mm")</x:f>
        <x:v>2023-12</x:v>
      </x:c>
      <x:c r="J1114" s="8" t="n">
        <x:f>COUNTIFS($H$2:$H$1201,"&gt;"&amp;H1114)+COUNTIFS($H$2:H1114,H1114)</x:f>
        <x:v>802</x:v>
      </x:c>
      <x:c r="K1114" s="1"/>
      <x:c r="L1114" s="1"/>
    </x:row>
    <x:row r="1115" ht="22" customHeight="1">
      <x:c r="A1115" s="8" t="n">
        <x:v>327</x:v>
      </x:c>
      <x:c r="B1115" s="6" t="n">
        <x:v>45268</x:v>
      </x:c>
      <x:c r="C1115" s="2" t="str">
        <x:v>Электроника</x:v>
      </x:c>
      <x:c r="D1115" s="2" t="str">
        <x:v>Планшет</x:v>
      </x:c>
      <x:c r="E1115" s="7" t="n">
        <x:v>81479.49</x:v>
      </x:c>
      <x:c r="F1115" s="9" t="n">
        <x:v>7</x:v>
      </x:c>
      <x:c r="G1115" s="2" t="str">
        <x:v>Казань</x:v>
      </x:c>
      <x:c r="H1115" s="7" t="n">
        <x:f>E1115*F1115</x:f>
        <x:v>570356.43</x:v>
      </x:c>
      <x:c r="I1115" s="2" t="str">
        <x:f>TEXT(B1115,"yyyy-mm")</x:f>
        <x:v>2023-12</x:v>
      </x:c>
      <x:c r="J1115" s="8" t="n">
        <x:f>COUNTIFS($H$2:$H$1201,"&gt;"&amp;H1115)+COUNTIFS($H$2:H1115,H1115)</x:f>
        <x:v>351</x:v>
      </x:c>
      <x:c r="K1115" s="1"/>
      <x:c r="L1115" s="1"/>
    </x:row>
    <x:row r="1116" ht="22" customHeight="1">
      <x:c r="A1116" s="8" t="n">
        <x:v>913</x:v>
      </x:c>
      <x:c r="B1116" s="6" t="n">
        <x:v>45268</x:v>
      </x:c>
      <x:c r="C1116" s="2" t="str">
        <x:v>Одежда</x:v>
      </x:c>
      <x:c r="D1116" s="2" t="str">
        <x:v>Куртка</x:v>
      </x:c>
      <x:c r="E1116" s="7" t="n">
        <x:v>109363.98</x:v>
      </x:c>
      <x:c r="F1116" s="9" t="n">
        <x:v>10</x:v>
      </x:c>
      <x:c r="G1116" s="2" t="str">
        <x:v>Екатеринбург</x:v>
      </x:c>
      <x:c r="H1116" s="7" t="n">
        <x:f>E1116*F1116</x:f>
        <x:v>1093639.8</x:v>
      </x:c>
      <x:c r="I1116" s="2" t="str">
        <x:f>TEXT(B1116,"yyyy-mm")</x:f>
        <x:v>2023-12</x:v>
      </x:c>
      <x:c r="J1116" s="8" t="n">
        <x:f>COUNTIFS($H$2:$H$1201,"&gt;"&amp;H1116)+COUNTIFS($H$2:H1116,H1116)</x:f>
        <x:v>65</x:v>
      </x:c>
      <x:c r="K1116" s="1"/>
      <x:c r="L1116" s="1"/>
    </x:row>
    <x:row r="1117" ht="22" customHeight="1">
      <x:c r="A1117" s="8" t="n">
        <x:v>1057</x:v>
      </x:c>
      <x:c r="B1117" s="6" t="n">
        <x:v>45268</x:v>
      </x:c>
      <x:c r="C1117" s="2" t="str">
        <x:v>Одежда</x:v>
      </x:c>
      <x:c r="D1117" s="2" t="str">
        <x:v>Кроссовки</x:v>
      </x:c>
      <x:c r="E1117" s="7" t="n">
        <x:v>24921.36</x:v>
      </x:c>
      <x:c r="F1117" s="9" t="n">
        <x:v>1</x:v>
      </x:c>
      <x:c r="G1117" s="2" t="str">
        <x:v>Санкт‑Петербург</x:v>
      </x:c>
      <x:c r="H1117" s="7" t="n">
        <x:f>E1117*F1117</x:f>
        <x:v>24921.36</x:v>
      </x:c>
      <x:c r="I1117" s="2" t="str">
        <x:f>TEXT(B1117,"yyyy-mm")</x:f>
        <x:v>2023-12</x:v>
      </x:c>
      <x:c r="J1117" s="8" t="n">
        <x:f>COUNTIFS($H$2:$H$1201,"&gt;"&amp;H1117)+COUNTIFS($H$2:H1117,H1117)</x:f>
        <x:v>1142</x:v>
      </x:c>
      <x:c r="K1117" s="1"/>
      <x:c r="L1117" s="1"/>
    </x:row>
    <x:row r="1118" ht="22" customHeight="1">
      <x:c r="A1118" s="8" t="n">
        <x:v>1134</x:v>
      </x:c>
      <x:c r="B1118" s="6" t="n">
        <x:v>45268</x:v>
      </x:c>
      <x:c r="C1118" s="2" t="str">
        <x:v>Продукты</x:v>
      </x:c>
      <x:c r="D1118" s="2" t="str">
        <x:v>Кофе</x:v>
      </x:c>
      <x:c r="E1118" s="7" t="n">
        <x:v>87904.47</x:v>
      </x:c>
      <x:c r="F1118" s="9" t="n">
        <x:v>9</x:v>
      </x:c>
      <x:c r="G1118" s="2" t="str">
        <x:v>Санкт‑Петербург</x:v>
      </x:c>
      <x:c r="H1118" s="7" t="n">
        <x:f>E1118*F1118</x:f>
        <x:v>791140.23</x:v>
      </x:c>
      <x:c r="I1118" s="2" t="str">
        <x:f>TEXT(B1118,"yyyy-mm")</x:f>
        <x:v>2023-12</x:v>
      </x:c>
      <x:c r="J1118" s="8" t="n">
        <x:f>COUNTIFS($H$2:$H$1201,"&gt;"&amp;H1118)+COUNTIFS($H$2:H1118,H1118)</x:f>
        <x:v>202</x:v>
      </x:c>
      <x:c r="K1118" s="1"/>
      <x:c r="L1118" s="1"/>
    </x:row>
    <x:row r="1119" ht="22" customHeight="1">
      <x:c r="A1119" s="8" t="n">
        <x:v>45</x:v>
      </x:c>
      <x:c r="B1119" s="6" t="n">
        <x:v>45269</x:v>
      </x:c>
      <x:c r="C1119" s="2" t="str">
        <x:v>Одежда</x:v>
      </x:c>
      <x:c r="D1119" s="2" t="str">
        <x:v>Джинсы</x:v>
      </x:c>
      <x:c r="E1119" s="7" t="n">
        <x:v>134384.71</x:v>
      </x:c>
      <x:c r="F1119" s="9" t="n">
        <x:v>3</x:v>
      </x:c>
      <x:c r="G1119" s="2" t="str">
        <x:v>Новосибирск</x:v>
      </x:c>
      <x:c r="H1119" s="7" t="n">
        <x:f>E1119*F1119</x:f>
        <x:v>403154.13</x:v>
      </x:c>
      <x:c r="I1119" s="2" t="str">
        <x:f>TEXT(B1119,"yyyy-mm")</x:f>
        <x:v>2023-12</x:v>
      </x:c>
      <x:c r="J1119" s="8" t="n">
        <x:f>COUNTIFS($H$2:$H$1201,"&gt;"&amp;H1119)+COUNTIFS($H$2:H1119,H1119)</x:f>
        <x:v>512</x:v>
      </x:c>
      <x:c r="K1119" s="1"/>
      <x:c r="L1119" s="1"/>
    </x:row>
    <x:row r="1120" ht="22" customHeight="1">
      <x:c r="A1120" s="8" t="n">
        <x:v>120</x:v>
      </x:c>
      <x:c r="B1120" s="6" t="n">
        <x:v>45269</x:v>
      </x:c>
      <x:c r="C1120" s="2" t="str">
        <x:v>Продукты</x:v>
      </x:c>
      <x:c r="D1120" s="2" t="str">
        <x:v>Молоко</x:v>
      </x:c>
      <x:c r="E1120" s="7" t="n">
        <x:v>116732.44</x:v>
      </x:c>
      <x:c r="F1120" s="9" t="n">
        <x:v>5</x:v>
      </x:c>
      <x:c r="G1120" s="2" t="str">
        <x:v>Санкт‑Петербург</x:v>
      </x:c>
      <x:c r="H1120" s="7" t="n">
        <x:f>E1120*F1120</x:f>
        <x:v>583662.2</x:v>
      </x:c>
      <x:c r="I1120" s="2" t="str">
        <x:f>TEXT(B1120,"yyyy-mm")</x:f>
        <x:v>2023-12</x:v>
      </x:c>
      <x:c r="J1120" s="8" t="n">
        <x:f>COUNTIFS($H$2:$H$1201,"&gt;"&amp;H1120)+COUNTIFS($H$2:H1120,H1120)</x:f>
        <x:v>330</x:v>
      </x:c>
      <x:c r="K1120" s="1"/>
      <x:c r="L1120" s="1"/>
    </x:row>
    <x:row r="1121" ht="22" customHeight="1">
      <x:c r="A1121" s="8" t="n">
        <x:v>340</x:v>
      </x:c>
      <x:c r="B1121" s="6" t="n">
        <x:v>45269</x:v>
      </x:c>
      <x:c r="C1121" s="2" t="str">
        <x:v>Продукты</x:v>
      </x:c>
      <x:c r="D1121" s="2" t="str">
        <x:v>Хлеб</x:v>
      </x:c>
      <x:c r="E1121" s="7" t="n">
        <x:v>110676.74</x:v>
      </x:c>
      <x:c r="F1121" s="9" t="n">
        <x:v>8</x:v>
      </x:c>
      <x:c r="G1121" s="2" t="str">
        <x:v>Москва</x:v>
      </x:c>
      <x:c r="H1121" s="7" t="n">
        <x:f>E1121*F1121</x:f>
        <x:v>885413.92</x:v>
      </x:c>
      <x:c r="I1121" s="2" t="str">
        <x:f>TEXT(B1121,"yyyy-mm")</x:f>
        <x:v>2023-12</x:v>
      </x:c>
      <x:c r="J1121" s="8" t="n">
        <x:f>COUNTIFS($H$2:$H$1201,"&gt;"&amp;H1121)+COUNTIFS($H$2:H1121,H1121)</x:f>
        <x:v>142</x:v>
      </x:c>
      <x:c r="K1121" s="1"/>
      <x:c r="L1121" s="1"/>
    </x:row>
    <x:row r="1122" ht="22" customHeight="1">
      <x:c r="A1122" s="8" t="n">
        <x:v>1019</x:v>
      </x:c>
      <x:c r="B1122" s="6" t="n">
        <x:v>45269</x:v>
      </x:c>
      <x:c r="C1122" s="2" t="str">
        <x:v>Одежда</x:v>
      </x:c>
      <x:c r="D1122" s="2" t="str">
        <x:v>Куртка</x:v>
      </x:c>
      <x:c r="E1122" s="7" t="n">
        <x:v>79522.24</x:v>
      </x:c>
      <x:c r="F1122" s="9" t="n">
        <x:v>6</x:v>
      </x:c>
      <x:c r="G1122" s="2" t="str">
        <x:v>Москва</x:v>
      </x:c>
      <x:c r="H1122" s="7" t="n">
        <x:f>E1122*F1122</x:f>
        <x:v>477133.44000000006</x:v>
      </x:c>
      <x:c r="I1122" s="2" t="str">
        <x:f>TEXT(B1122,"yyyy-mm")</x:f>
        <x:v>2023-12</x:v>
      </x:c>
      <x:c r="J1122" s="8" t="n">
        <x:f>COUNTIFS($H$2:$H$1201,"&gt;"&amp;H1122)+COUNTIFS($H$2:H1122,H1122)</x:f>
        <x:v>429</x:v>
      </x:c>
      <x:c r="K1122" s="1"/>
      <x:c r="L1122" s="1"/>
    </x:row>
    <x:row r="1123" ht="22" customHeight="1">
      <x:c r="A1123" s="8" t="n">
        <x:v>1183</x:v>
      </x:c>
      <x:c r="B1123" s="6" t="n">
        <x:v>45269</x:v>
      </x:c>
      <x:c r="C1123" s="2" t="str">
        <x:v>Электроника</x:v>
      </x:c>
      <x:c r="D1123" s="2" t="str">
        <x:v>Ноутбук</x:v>
      </x:c>
      <x:c r="E1123" s="7" t="n">
        <x:v>87738.62</x:v>
      </x:c>
      <x:c r="F1123" s="9" t="n">
        <x:v>2</x:v>
      </x:c>
      <x:c r="G1123" s="2" t="str">
        <x:v>Москва</x:v>
      </x:c>
      <x:c r="H1123" s="7" t="n">
        <x:f>E1123*F1123</x:f>
        <x:v>175477.24</x:v>
      </x:c>
      <x:c r="I1123" s="2" t="str">
        <x:f>TEXT(B1123,"yyyy-mm")</x:f>
        <x:v>2023-12</x:v>
      </x:c>
      <x:c r="J1123" s="8" t="n">
        <x:f>COUNTIFS($H$2:$H$1201,"&gt;"&amp;H1123)+COUNTIFS($H$2:H1123,H1123)</x:f>
        <x:v>818</x:v>
      </x:c>
      <x:c r="K1123" s="1"/>
      <x:c r="L1123" s="1"/>
    </x:row>
    <x:row r="1124" ht="22" customHeight="1">
      <x:c r="A1124" s="8" t="n">
        <x:v>1076</x:v>
      </x:c>
      <x:c r="B1124" s="6" t="n">
        <x:v>45270</x:v>
      </x:c>
      <x:c r="C1124" s="2" t="str">
        <x:v>Одежда</x:v>
      </x:c>
      <x:c r="D1124" s="2" t="str">
        <x:v>Кроссовки</x:v>
      </x:c>
      <x:c r="E1124" s="7" t="n">
        <x:v>11353.47</x:v>
      </x:c>
      <x:c r="F1124" s="9" t="n">
        <x:v>5</x:v>
      </x:c>
      <x:c r="G1124" s="2" t="str">
        <x:v>Московская область</x:v>
      </x:c>
      <x:c r="H1124" s="7" t="n">
        <x:f>E1124*F1124</x:f>
        <x:v>56767.35</x:v>
      </x:c>
      <x:c r="I1124" s="2" t="str">
        <x:f>TEXT(B1124,"yyyy-mm")</x:f>
        <x:v>2023-12</x:v>
      </x:c>
      <x:c r="J1124" s="8" t="n">
        <x:f>COUNTIFS($H$2:$H$1201,"&gt;"&amp;H1124)+COUNTIFS($H$2:H1124,H1124)</x:f>
        <x:v>1072</x:v>
      </x:c>
      <x:c r="K1124" s="1"/>
      <x:c r="L1124" s="1"/>
    </x:row>
    <x:row r="1125" ht="22" customHeight="1">
      <x:c r="A1125" s="8" t="n">
        <x:v>157</x:v>
      </x:c>
      <x:c r="B1125" s="6" t="n">
        <x:v>45272</x:v>
      </x:c>
      <x:c r="C1125" s="2" t="str">
        <x:v>Товары для дома</x:v>
      </x:c>
      <x:c r="D1125" s="2" t="str">
        <x:v>Подушка</x:v>
      </x:c>
      <x:c r="E1125" s="7" t="n">
        <x:v>15380.14</x:v>
      </x:c>
      <x:c r="F1125" s="9" t="n">
        <x:v>10</x:v>
      </x:c>
      <x:c r="G1125" s="2" t="str">
        <x:v>Санкт‑Петербург</x:v>
      </x:c>
      <x:c r="H1125" s="7" t="n">
        <x:f>E1125*F1125</x:f>
        <x:v>153801.4</x:v>
      </x:c>
      <x:c r="I1125" s="2" t="str">
        <x:f>TEXT(B1125,"yyyy-mm")</x:f>
        <x:v>2023-12</x:v>
      </x:c>
      <x:c r="J1125" s="8" t="n">
        <x:f>COUNTIFS($H$2:$H$1201,"&gt;"&amp;H1125)+COUNTIFS($H$2:H1125,H1125)</x:f>
        <x:v>847</x:v>
      </x:c>
      <x:c r="K1125" s="1"/>
      <x:c r="L1125" s="1"/>
    </x:row>
    <x:row r="1126" ht="22" customHeight="1">
      <x:c r="A1126" s="8" t="n">
        <x:v>439</x:v>
      </x:c>
      <x:c r="B1126" s="6" t="n">
        <x:v>45272</x:v>
      </x:c>
      <x:c r="C1126" s="2" t="str">
        <x:v>Продукты</x:v>
      </x:c>
      <x:c r="D1126" s="2" t="str">
        <x:v>Кофе</x:v>
      </x:c>
      <x:c r="E1126" s="7" t="n">
        <x:v>24545.63</x:v>
      </x:c>
      <x:c r="F1126" s="9" t="n">
        <x:v>9</x:v>
      </x:c>
      <x:c r="G1126" s="2" t="str">
        <x:v>Московская область</x:v>
      </x:c>
      <x:c r="H1126" s="7" t="n">
        <x:f>E1126*F1126</x:f>
        <x:v>220910.67</x:v>
      </x:c>
      <x:c r="I1126" s="2" t="str">
        <x:f>TEXT(B1126,"yyyy-mm")</x:f>
        <x:v>2023-12</x:v>
      </x:c>
      <x:c r="J1126" s="8" t="n">
        <x:f>COUNTIFS($H$2:$H$1201,"&gt;"&amp;H1126)+COUNTIFS($H$2:H1126,H1126)</x:f>
        <x:v>753</x:v>
      </x:c>
      <x:c r="K1126" s="1"/>
      <x:c r="L1126" s="1"/>
    </x:row>
    <x:row r="1127" ht="22" customHeight="1">
      <x:c r="A1127" s="8" t="n">
        <x:v>588</x:v>
      </x:c>
      <x:c r="B1127" s="6" t="n">
        <x:v>45272</x:v>
      </x:c>
      <x:c r="C1127" s="2" t="str">
        <x:v>Продукты</x:v>
      </x:c>
      <x:c r="D1127" s="2" t="str">
        <x:v>Шоколад</x:v>
      </x:c>
      <x:c r="E1127" s="7" t="n">
        <x:v>89649.11</x:v>
      </x:c>
      <x:c r="F1127" s="9" t="n">
        <x:v>9</x:v>
      </x:c>
      <x:c r="G1127" s="2" t="str">
        <x:v>Московская область</x:v>
      </x:c>
      <x:c r="H1127" s="7" t="n">
        <x:f>E1127*F1127</x:f>
        <x:v>806841.99</x:v>
      </x:c>
      <x:c r="I1127" s="2" t="str">
        <x:f>TEXT(B1127,"yyyy-mm")</x:f>
        <x:v>2023-12</x:v>
      </x:c>
      <x:c r="J1127" s="8" t="n">
        <x:f>COUNTIFS($H$2:$H$1201,"&gt;"&amp;H1127)+COUNTIFS($H$2:H1127,H1127)</x:f>
        <x:v>189</x:v>
      </x:c>
      <x:c r="K1127" s="1"/>
      <x:c r="L1127" s="1"/>
    </x:row>
    <x:row r="1128" ht="22" customHeight="1">
      <x:c r="A1128" s="8" t="n">
        <x:v>642</x:v>
      </x:c>
      <x:c r="B1128" s="6" t="n">
        <x:v>45272</x:v>
      </x:c>
      <x:c r="C1128" s="2" t="str">
        <x:v>Продукты</x:v>
      </x:c>
      <x:c r="D1128" s="2" t="str">
        <x:v>Шоколад</x:v>
      </x:c>
      <x:c r="E1128" s="7" t="n">
        <x:v>145826.86</x:v>
      </x:c>
      <x:c r="F1128" s="9" t="n">
        <x:v>8</x:v>
      </x:c>
      <x:c r="G1128" s="2" t="str">
        <x:v>Екатеринбург</x:v>
      </x:c>
      <x:c r="H1128" s="7" t="n">
        <x:f>E1128*F1128</x:f>
        <x:v>1166614.88</x:v>
      </x:c>
      <x:c r="I1128" s="2" t="str">
        <x:f>TEXT(B1128,"yyyy-mm")</x:f>
        <x:v>2023-12</x:v>
      </x:c>
      <x:c r="J1128" s="8" t="n">
        <x:f>COUNTIFS($H$2:$H$1201,"&gt;"&amp;H1128)+COUNTIFS($H$2:H1128,H1128)</x:f>
        <x:v>40</x:v>
      </x:c>
      <x:c r="K1128" s="1"/>
      <x:c r="L1128" s="1"/>
    </x:row>
    <x:row r="1129" ht="22" customHeight="1">
      <x:c r="A1129" s="8" t="n">
        <x:v>760</x:v>
      </x:c>
      <x:c r="B1129" s="6" t="n">
        <x:v>45272</x:v>
      </x:c>
      <x:c r="C1129" s="2" t="str">
        <x:v>Электроника</x:v>
      </x:c>
      <x:c r="D1129" s="2" t="str">
        <x:v>Ноутбук</x:v>
      </x:c>
      <x:c r="E1129" s="7" t="n">
        <x:v>119397.71</x:v>
      </x:c>
      <x:c r="F1129" s="9" t="n">
        <x:v>5</x:v>
      </x:c>
      <x:c r="G1129" s="2" t="str">
        <x:v>Московская область</x:v>
      </x:c>
      <x:c r="H1129" s="7" t="n">
        <x:f>E1129*F1129</x:f>
        <x:v>596988.55</x:v>
      </x:c>
      <x:c r="I1129" s="2" t="str">
        <x:f>TEXT(B1129,"yyyy-mm")</x:f>
        <x:v>2023-12</x:v>
      </x:c>
      <x:c r="J1129" s="8" t="n">
        <x:f>COUNTIFS($H$2:$H$1201,"&gt;"&amp;H1129)+COUNTIFS($H$2:H1129,H1129)</x:f>
        <x:v>319</x:v>
      </x:c>
      <x:c r="K1129" s="1"/>
      <x:c r="L1129" s="1"/>
    </x:row>
    <x:row r="1130" ht="22" customHeight="1">
      <x:c r="A1130" s="8" t="n">
        <x:v>796</x:v>
      </x:c>
      <x:c r="B1130" s="6" t="n">
        <x:v>45272</x:v>
      </x:c>
      <x:c r="C1130" s="2" t="str">
        <x:v>Продукты</x:v>
      </x:c>
      <x:c r="D1130" s="2" t="str">
        <x:v>Хлеб</x:v>
      </x:c>
      <x:c r="E1130" s="7" t="n">
        <x:v>17564.85</x:v>
      </x:c>
      <x:c r="F1130" s="9" t="n">
        <x:v>6</x:v>
      </x:c>
      <x:c r="G1130" s="2" t="str">
        <x:v>Екатеринбург</x:v>
      </x:c>
      <x:c r="H1130" s="7" t="n">
        <x:f>E1130*F1130</x:f>
        <x:v>105389.09999999999</x:v>
      </x:c>
      <x:c r="I1130" s="2" t="str">
        <x:f>TEXT(B1130,"yyyy-mm")</x:f>
        <x:v>2023-12</x:v>
      </x:c>
      <x:c r="J1130" s="8" t="n">
        <x:f>COUNTIFS($H$2:$H$1201,"&gt;"&amp;H1130)+COUNTIFS($H$2:H1130,H1130)</x:f>
        <x:v>960</x:v>
      </x:c>
      <x:c r="K1130" s="1"/>
      <x:c r="L1130" s="1"/>
    </x:row>
    <x:row r="1131" ht="22" customHeight="1">
      <x:c r="A1131" s="8" t="n">
        <x:v>49</x:v>
      </x:c>
      <x:c r="B1131" s="6" t="n">
        <x:v>45273</x:v>
      </x:c>
      <x:c r="C1131" s="2" t="str">
        <x:v>Продукты</x:v>
      </x:c>
      <x:c r="D1131" s="2" t="str">
        <x:v>Шоколад</x:v>
      </x:c>
      <x:c r="E1131" s="7" t="n">
        <x:v>136402.6</x:v>
      </x:c>
      <x:c r="F1131" s="9" t="n">
        <x:v>8</x:v>
      </x:c>
      <x:c r="G1131" s="2" t="str">
        <x:v>Московская область</x:v>
      </x:c>
      <x:c r="H1131" s="7" t="n">
        <x:f>E1131*F1131</x:f>
        <x:v>1091220.8</x:v>
      </x:c>
      <x:c r="I1131" s="2" t="str">
        <x:f>TEXT(B1131,"yyyy-mm")</x:f>
        <x:v>2023-12</x:v>
      </x:c>
      <x:c r="J1131" s="8" t="n">
        <x:f>COUNTIFS($H$2:$H$1201,"&gt;"&amp;H1131)+COUNTIFS($H$2:H1131,H1131)</x:f>
        <x:v>66</x:v>
      </x:c>
      <x:c r="K1131" s="1"/>
      <x:c r="L1131" s="1"/>
    </x:row>
    <x:row r="1132" ht="22" customHeight="1">
      <x:c r="A1132" s="8" t="n">
        <x:v>285</x:v>
      </x:c>
      <x:c r="B1132" s="6" t="n">
        <x:v>45273</x:v>
      </x:c>
      <x:c r="C1132" s="2" t="str">
        <x:v>Товары для дома</x:v>
      </x:c>
      <x:c r="D1132" s="2" t="str">
        <x:v>Кружка</x:v>
      </x:c>
      <x:c r="E1132" s="7" t="n">
        <x:v>29101.01</x:v>
      </x:c>
      <x:c r="F1132" s="9" t="n">
        <x:v>2</x:v>
      </x:c>
      <x:c r="G1132" s="2" t="str">
        <x:v>Москва</x:v>
      </x:c>
      <x:c r="H1132" s="7" t="n">
        <x:f>E1132*F1132</x:f>
        <x:v>58202.02</x:v>
      </x:c>
      <x:c r="I1132" s="2" t="str">
        <x:f>TEXT(B1132,"yyyy-mm")</x:f>
        <x:v>2023-12</x:v>
      </x:c>
      <x:c r="J1132" s="8" t="n">
        <x:f>COUNTIFS($H$2:$H$1201,"&gt;"&amp;H1132)+COUNTIFS($H$2:H1132,H1132)</x:f>
        <x:v>1063</x:v>
      </x:c>
      <x:c r="K1132" s="1"/>
      <x:c r="L1132" s="1"/>
    </x:row>
    <x:row r="1133" ht="22" customHeight="1">
      <x:c r="A1133" s="8" t="n">
        <x:v>596</x:v>
      </x:c>
      <x:c r="B1133" s="6" t="n">
        <x:v>45273</x:v>
      </x:c>
      <x:c r="C1133" s="2" t="str">
        <x:v>Товары для дома</x:v>
      </x:c>
      <x:c r="D1133" s="2" t="str">
        <x:v>Подушка</x:v>
      </x:c>
      <x:c r="E1133" s="7" t="n">
        <x:v>96013.28</x:v>
      </x:c>
      <x:c r="F1133" s="9" t="n">
        <x:v>7</x:v>
      </x:c>
      <x:c r="G1133" s="2" t="str">
        <x:v>Казань</x:v>
      </x:c>
      <x:c r="H1133" s="7" t="n">
        <x:f>E1133*F1133</x:f>
        <x:v>672092.96</x:v>
      </x:c>
      <x:c r="I1133" s="2" t="str">
        <x:f>TEXT(B1133,"yyyy-mm")</x:f>
        <x:v>2023-12</x:v>
      </x:c>
      <x:c r="J1133" s="8" t="n">
        <x:f>COUNTIFS($H$2:$H$1201,"&gt;"&amp;H1133)+COUNTIFS($H$2:H1133,H1133)</x:f>
        <x:v>285</x:v>
      </x:c>
      <x:c r="K1133" s="1"/>
      <x:c r="L1133" s="1"/>
    </x:row>
    <x:row r="1134" ht="22" customHeight="1">
      <x:c r="A1134" s="8" t="n">
        <x:v>461</x:v>
      </x:c>
      <x:c r="B1134" s="6" t="n">
        <x:v>45274</x:v>
      </x:c>
      <x:c r="C1134" s="2" t="str">
        <x:v>Электроника</x:v>
      </x:c>
      <x:c r="D1134" s="2" t="str">
        <x:v>Планшет</x:v>
      </x:c>
      <x:c r="E1134" s="7" t="n">
        <x:v>141189.83</x:v>
      </x:c>
      <x:c r="F1134" s="9" t="n">
        <x:v>8</x:v>
      </x:c>
      <x:c r="G1134" s="2" t="str">
        <x:v>Московская область</x:v>
      </x:c>
      <x:c r="H1134" s="7" t="n">
        <x:f>E1134*F1134</x:f>
        <x:v>1129518.64</x:v>
      </x:c>
      <x:c r="I1134" s="2" t="str">
        <x:f>TEXT(B1134,"yyyy-mm")</x:f>
        <x:v>2023-12</x:v>
      </x:c>
      <x:c r="J1134" s="8" t="n">
        <x:f>COUNTIFS($H$2:$H$1201,"&gt;"&amp;H1134)+COUNTIFS($H$2:H1134,H1134)</x:f>
        <x:v>54</x:v>
      </x:c>
      <x:c r="K1134" s="1"/>
      <x:c r="L1134" s="1"/>
    </x:row>
    <x:row r="1135" ht="22" customHeight="1">
      <x:c r="A1135" s="8" t="n">
        <x:v>838</x:v>
      </x:c>
      <x:c r="B1135" s="6" t="n">
        <x:v>45274</x:v>
      </x:c>
      <x:c r="C1135" s="2" t="str">
        <x:v>Электроника</x:v>
      </x:c>
      <x:c r="D1135" s="2" t="str">
        <x:v>Планшет</x:v>
      </x:c>
      <x:c r="E1135" s="7" t="n">
        <x:v>49112.52</x:v>
      </x:c>
      <x:c r="F1135" s="9" t="n">
        <x:v>8</x:v>
      </x:c>
      <x:c r="G1135" s="2" t="str">
        <x:v>Московская область</x:v>
      </x:c>
      <x:c r="H1135" s="7" t="n">
        <x:f>E1135*F1135</x:f>
        <x:v>392900.16</x:v>
      </x:c>
      <x:c r="I1135" s="2" t="str">
        <x:f>TEXT(B1135,"yyyy-mm")</x:f>
        <x:v>2023-12</x:v>
      </x:c>
      <x:c r="J1135" s="8" t="n">
        <x:f>COUNTIFS($H$2:$H$1201,"&gt;"&amp;H1135)+COUNTIFS($H$2:H1135,H1135)</x:f>
        <x:v>532</x:v>
      </x:c>
      <x:c r="K1135" s="1"/>
      <x:c r="L1135" s="1"/>
    </x:row>
    <x:row r="1136" ht="22" customHeight="1">
      <x:c r="A1136" s="8" t="n">
        <x:v>435</x:v>
      </x:c>
      <x:c r="B1136" s="6" t="n">
        <x:v>45275</x:v>
      </x:c>
      <x:c r="C1136" s="2" t="str">
        <x:v>Продукты</x:v>
      </x:c>
      <x:c r="D1136" s="2" t="str">
        <x:v>Шоколад</x:v>
      </x:c>
      <x:c r="E1136" s="7" t="n">
        <x:v>41678.31</x:v>
      </x:c>
      <x:c r="F1136" s="9" t="n">
        <x:v>1</x:v>
      </x:c>
      <x:c r="G1136" s="2" t="str">
        <x:v>Московская область</x:v>
      </x:c>
      <x:c r="H1136" s="7" t="n">
        <x:f>E1136*F1136</x:f>
        <x:v>41678.31</x:v>
      </x:c>
      <x:c r="I1136" s="2" t="str">
        <x:f>TEXT(B1136,"yyyy-mm")</x:f>
        <x:v>2023-12</x:v>
      </x:c>
      <x:c r="J1136" s="8" t="n">
        <x:f>COUNTIFS($H$2:$H$1201,"&gt;"&amp;H1136)+COUNTIFS($H$2:H1136,H1136)</x:f>
        <x:v>1103</x:v>
      </x:c>
      <x:c r="K1136" s="1"/>
      <x:c r="L1136" s="1"/>
    </x:row>
    <x:row r="1137" ht="22" customHeight="1">
      <x:c r="A1137" s="8" t="n">
        <x:v>501</x:v>
      </x:c>
      <x:c r="B1137" s="6" t="n">
        <x:v>45275</x:v>
      </x:c>
      <x:c r="C1137" s="2" t="str">
        <x:v>Электроника</x:v>
      </x:c>
      <x:c r="D1137" s="2" t="str">
        <x:v>Наушники</x:v>
      </x:c>
      <x:c r="E1137" s="7" t="n">
        <x:v>44301.4</x:v>
      </x:c>
      <x:c r="F1137" s="9" t="n">
        <x:v>8</x:v>
      </x:c>
      <x:c r="G1137" s="2" t="str">
        <x:v>Новосибирск</x:v>
      </x:c>
      <x:c r="H1137" s="7" t="n">
        <x:f>E1137*F1137</x:f>
        <x:v>354411.2</x:v>
      </x:c>
      <x:c r="I1137" s="2" t="str">
        <x:f>TEXT(B1137,"yyyy-mm")</x:f>
        <x:v>2023-12</x:v>
      </x:c>
      <x:c r="J1137" s="8" t="n">
        <x:f>COUNTIFS($H$2:$H$1201,"&gt;"&amp;H1137)+COUNTIFS($H$2:H1137,H1137)</x:f>
        <x:v>583</x:v>
      </x:c>
      <x:c r="K1137" s="1"/>
      <x:c r="L1137" s="1"/>
    </x:row>
    <x:row r="1138" ht="22" customHeight="1">
      <x:c r="A1138" s="8" t="n">
        <x:v>608</x:v>
      </x:c>
      <x:c r="B1138" s="6" t="n">
        <x:v>45275</x:v>
      </x:c>
      <x:c r="C1138" s="2" t="str">
        <x:v>Продукты</x:v>
      </x:c>
      <x:c r="D1138" s="2" t="str">
        <x:v>Молоко</x:v>
      </x:c>
      <x:c r="E1138" s="7" t="n">
        <x:v>98941.36</x:v>
      </x:c>
      <x:c r="F1138" s="9" t="n">
        <x:v>7</x:v>
      </x:c>
      <x:c r="G1138" s="2" t="str">
        <x:v>Санкт‑Петербург</x:v>
      </x:c>
      <x:c r="H1138" s="7" t="n">
        <x:f>E1138*F1138</x:f>
        <x:v>692589.52</x:v>
      </x:c>
      <x:c r="I1138" s="2" t="str">
        <x:f>TEXT(B1138,"yyyy-mm")</x:f>
        <x:v>2023-12</x:v>
      </x:c>
      <x:c r="J1138" s="8" t="n">
        <x:f>COUNTIFS($H$2:$H$1201,"&gt;"&amp;H1138)+COUNTIFS($H$2:H1138,H1138)</x:f>
        <x:v>267</x:v>
      </x:c>
      <x:c r="K1138" s="1"/>
      <x:c r="L1138" s="1"/>
    </x:row>
    <x:row r="1139" ht="22" customHeight="1">
      <x:c r="A1139" s="8" t="n">
        <x:v>731</x:v>
      </x:c>
      <x:c r="B1139" s="6" t="n">
        <x:v>45275</x:v>
      </x:c>
      <x:c r="C1139" s="2" t="str">
        <x:v>Одежда</x:v>
      </x:c>
      <x:c r="D1139" s="2" t="str">
        <x:v>Кроссовки</x:v>
      </x:c>
      <x:c r="E1139" s="7" t="n">
        <x:v>31939.84</x:v>
      </x:c>
      <x:c r="F1139" s="9" t="n">
        <x:v>7</x:v>
      </x:c>
      <x:c r="G1139" s="2" t="str">
        <x:v>Москва</x:v>
      </x:c>
      <x:c r="H1139" s="7" t="n">
        <x:f>E1139*F1139</x:f>
        <x:v>223578.88</x:v>
      </x:c>
      <x:c r="I1139" s="2" t="str">
        <x:f>TEXT(B1139,"yyyy-mm")</x:f>
        <x:v>2023-12</x:v>
      </x:c>
      <x:c r="J1139" s="8" t="n">
        <x:f>COUNTIFS($H$2:$H$1201,"&gt;"&amp;H1139)+COUNTIFS($H$2:H1139,H1139)</x:f>
        <x:v>747</x:v>
      </x:c>
      <x:c r="K1139" s="1"/>
      <x:c r="L1139" s="1"/>
    </x:row>
    <x:row r="1140" ht="22" customHeight="1">
      <x:c r="A1140" s="8" t="n">
        <x:v>737</x:v>
      </x:c>
      <x:c r="B1140" s="6" t="n">
        <x:v>45275</x:v>
      </x:c>
      <x:c r="C1140" s="2" t="str">
        <x:v>Одежда</x:v>
      </x:c>
      <x:c r="D1140" s="2" t="str">
        <x:v>Куртка</x:v>
      </x:c>
      <x:c r="E1140" s="7" t="n">
        <x:v>115624.24</x:v>
      </x:c>
      <x:c r="F1140" s="9" t="n">
        <x:v>7</x:v>
      </x:c>
      <x:c r="G1140" s="2" t="str">
        <x:v>Москва</x:v>
      </x:c>
      <x:c r="H1140" s="7" t="n">
        <x:f>E1140*F1140</x:f>
        <x:v>809369.68</x:v>
      </x:c>
      <x:c r="I1140" s="2" t="str">
        <x:f>TEXT(B1140,"yyyy-mm")</x:f>
        <x:v>2023-12</x:v>
      </x:c>
      <x:c r="J1140" s="8" t="n">
        <x:f>COUNTIFS($H$2:$H$1201,"&gt;"&amp;H1140)+COUNTIFS($H$2:H1140,H1140)</x:f>
        <x:v>188</x:v>
      </x:c>
      <x:c r="K1140" s="1"/>
      <x:c r="L1140" s="1"/>
    </x:row>
    <x:row r="1141" ht="22" customHeight="1">
      <x:c r="A1141" s="8" t="n">
        <x:v>761</x:v>
      </x:c>
      <x:c r="B1141" s="6" t="n">
        <x:v>45275</x:v>
      </x:c>
      <x:c r="C1141" s="2" t="str">
        <x:v>Электроника</x:v>
      </x:c>
      <x:c r="D1141" s="2" t="str">
        <x:v>Ноутбук</x:v>
      </x:c>
      <x:c r="E1141" s="7" t="n">
        <x:v>27721.71</x:v>
      </x:c>
      <x:c r="F1141" s="9" t="n">
        <x:v>8</x:v>
      </x:c>
      <x:c r="G1141" s="2" t="str">
        <x:v>Санкт‑Петербург</x:v>
      </x:c>
      <x:c r="H1141" s="7" t="n">
        <x:f>E1141*F1141</x:f>
        <x:v>221773.68</x:v>
      </x:c>
      <x:c r="I1141" s="2" t="str">
        <x:f>TEXT(B1141,"yyyy-mm")</x:f>
        <x:v>2023-12</x:v>
      </x:c>
      <x:c r="J1141" s="8" t="n">
        <x:f>COUNTIFS($H$2:$H$1201,"&gt;"&amp;H1141)+COUNTIFS($H$2:H1141,H1141)</x:f>
        <x:v>751</x:v>
      </x:c>
      <x:c r="K1141" s="1"/>
      <x:c r="L1141" s="1"/>
    </x:row>
    <x:row r="1142" ht="22" customHeight="1">
      <x:c r="A1142" s="8" t="n">
        <x:v>928</x:v>
      </x:c>
      <x:c r="B1142" s="6" t="n">
        <x:v>45275</x:v>
      </x:c>
      <x:c r="C1142" s="2" t="str">
        <x:v>Одежда</x:v>
      </x:c>
      <x:c r="D1142" s="2" t="str">
        <x:v>Куртка</x:v>
      </x:c>
      <x:c r="E1142" s="7" t="n">
        <x:v>71979.29</x:v>
      </x:c>
      <x:c r="F1142" s="9" t="n">
        <x:v>8</x:v>
      </x:c>
      <x:c r="G1142" s="2" t="str">
        <x:v>Казань</x:v>
      </x:c>
      <x:c r="H1142" s="7" t="n">
        <x:f>E1142*F1142</x:f>
        <x:v>575834.32</x:v>
      </x:c>
      <x:c r="I1142" s="2" t="str">
        <x:f>TEXT(B1142,"yyyy-mm")</x:f>
        <x:v>2023-12</x:v>
      </x:c>
      <x:c r="J1142" s="8" t="n">
        <x:f>COUNTIFS($H$2:$H$1201,"&gt;"&amp;H1142)+COUNTIFS($H$2:H1142,H1142)</x:f>
        <x:v>338</x:v>
      </x:c>
      <x:c r="K1142" s="1"/>
      <x:c r="L1142" s="1"/>
    </x:row>
    <x:row r="1143" ht="22" customHeight="1">
      <x:c r="A1143" s="8" t="n">
        <x:v>930</x:v>
      </x:c>
      <x:c r="B1143" s="6" t="n">
        <x:v>45275</x:v>
      </x:c>
      <x:c r="C1143" s="2" t="str">
        <x:v>Товары для дома</x:v>
      </x:c>
      <x:c r="D1143" s="2" t="str">
        <x:v>Полотенце</x:v>
      </x:c>
      <x:c r="E1143" s="7" t="n">
        <x:v>72785.01</x:v>
      </x:c>
      <x:c r="F1143" s="9" t="n">
        <x:v>6</x:v>
      </x:c>
      <x:c r="G1143" s="2" t="str">
        <x:v>Екатеринбург</x:v>
      </x:c>
      <x:c r="H1143" s="7" t="n">
        <x:f>E1143*F1143</x:f>
        <x:v>436710.05999999994</x:v>
      </x:c>
      <x:c r="I1143" s="2" t="str">
        <x:f>TEXT(B1143,"yyyy-mm")</x:f>
        <x:v>2023-12</x:v>
      </x:c>
      <x:c r="J1143" s="8" t="n">
        <x:f>COUNTIFS($H$2:$H$1201,"&gt;"&amp;H1143)+COUNTIFS($H$2:H1143,H1143)</x:f>
        <x:v>475</x:v>
      </x:c>
      <x:c r="K1143" s="1"/>
      <x:c r="L1143" s="1"/>
    </x:row>
    <x:row r="1144" ht="22" customHeight="1">
      <x:c r="A1144" s="8" t="n">
        <x:v>1110</x:v>
      </x:c>
      <x:c r="B1144" s="6" t="n">
        <x:v>45275</x:v>
      </x:c>
      <x:c r="C1144" s="2" t="str">
        <x:v>Одежда</x:v>
      </x:c>
      <x:c r="D1144" s="2" t="str">
        <x:v>Кроссовки</x:v>
      </x:c>
      <x:c r="E1144" s="7" t="n">
        <x:v>90755.11</x:v>
      </x:c>
      <x:c r="F1144" s="9" t="n">
        <x:v>6</x:v>
      </x:c>
      <x:c r="G1144" s="2" t="str">
        <x:v>Московская область</x:v>
      </x:c>
      <x:c r="H1144" s="7" t="n">
        <x:f>E1144*F1144</x:f>
        <x:v>544530.66</x:v>
      </x:c>
      <x:c r="I1144" s="2" t="str">
        <x:f>TEXT(B1144,"yyyy-mm")</x:f>
        <x:v>2023-12</x:v>
      </x:c>
      <x:c r="J1144" s="8" t="n">
        <x:f>COUNTIFS($H$2:$H$1201,"&gt;"&amp;H1144)+COUNTIFS($H$2:H1144,H1144)</x:f>
        <x:v>373</x:v>
      </x:c>
      <x:c r="K1144" s="1"/>
      <x:c r="L1144" s="1"/>
    </x:row>
    <x:row r="1145" ht="22" customHeight="1">
      <x:c r="A1145" s="8" t="n">
        <x:v>282</x:v>
      </x:c>
      <x:c r="B1145" s="6" t="n">
        <x:v>45276</x:v>
      </x:c>
      <x:c r="C1145" s="2" t="str">
        <x:v>Продукты</x:v>
      </x:c>
      <x:c r="D1145" s="2" t="str">
        <x:v>Шоколад</x:v>
      </x:c>
      <x:c r="E1145" s="7" t="n">
        <x:v>133879.56</x:v>
      </x:c>
      <x:c r="F1145" s="9" t="n">
        <x:v>10</x:v>
      </x:c>
      <x:c r="G1145" s="2" t="str">
        <x:v>Казань</x:v>
      </x:c>
      <x:c r="H1145" s="7" t="n">
        <x:f>E1145*F1145</x:f>
        <x:v>1338795.6</x:v>
      </x:c>
      <x:c r="I1145" s="2" t="str">
        <x:f>TEXT(B1145,"yyyy-mm")</x:f>
        <x:v>2023-12</x:v>
      </x:c>
      <x:c r="J1145" s="8" t="n">
        <x:f>COUNTIFS($H$2:$H$1201,"&gt;"&amp;H1145)+COUNTIFS($H$2:H1145,H1145)</x:f>
        <x:v>8</x:v>
      </x:c>
      <x:c r="K1145" s="1"/>
      <x:c r="L1145" s="1"/>
    </x:row>
    <x:row r="1146" ht="22" customHeight="1">
      <x:c r="A1146" s="8" t="n">
        <x:v>503</x:v>
      </x:c>
      <x:c r="B1146" s="6" t="n">
        <x:v>45276</x:v>
      </x:c>
      <x:c r="C1146" s="2" t="str">
        <x:v>Товары для дома</x:v>
      </x:c>
      <x:c r="D1146" s="2" t="str">
        <x:v>Подушка</x:v>
      </x:c>
      <x:c r="E1146" s="7" t="n">
        <x:v>91699.81</x:v>
      </x:c>
      <x:c r="F1146" s="9" t="n">
        <x:v>5</x:v>
      </x:c>
      <x:c r="G1146" s="2" t="str">
        <x:v>Санкт‑Петербург</x:v>
      </x:c>
      <x:c r="H1146" s="7" t="n">
        <x:f>E1146*F1146</x:f>
        <x:v>458499.05</x:v>
      </x:c>
      <x:c r="I1146" s="2" t="str">
        <x:f>TEXT(B1146,"yyyy-mm")</x:f>
        <x:v>2023-12</x:v>
      </x:c>
      <x:c r="J1146" s="8" t="n">
        <x:f>COUNTIFS($H$2:$H$1201,"&gt;"&amp;H1146)+COUNTIFS($H$2:H1146,H1146)</x:f>
        <x:v>443</x:v>
      </x:c>
      <x:c r="K1146" s="1"/>
      <x:c r="L1146" s="1"/>
    </x:row>
    <x:row r="1147" ht="22" customHeight="1">
      <x:c r="A1147" s="8" t="n">
        <x:v>569</x:v>
      </x:c>
      <x:c r="B1147" s="6" t="n">
        <x:v>45276</x:v>
      </x:c>
      <x:c r="C1147" s="2" t="str">
        <x:v>Продукты</x:v>
      </x:c>
      <x:c r="D1147" s="2" t="str">
        <x:v>Кофе</x:v>
      </x:c>
      <x:c r="E1147" s="7" t="n">
        <x:v>33167.83</x:v>
      </x:c>
      <x:c r="F1147" s="9" t="n">
        <x:v>5</x:v>
      </x:c>
      <x:c r="G1147" s="2" t="str">
        <x:v>Казань</x:v>
      </x:c>
      <x:c r="H1147" s="7" t="n">
        <x:f>E1147*F1147</x:f>
        <x:v>165839.15000000002</x:v>
      </x:c>
      <x:c r="I1147" s="2" t="str">
        <x:f>TEXT(B1147,"yyyy-mm")</x:f>
        <x:v>2023-12</x:v>
      </x:c>
      <x:c r="J1147" s="8" t="n">
        <x:f>COUNTIFS($H$2:$H$1201,"&gt;"&amp;H1147)+COUNTIFS($H$2:H1147,H1147)</x:f>
        <x:v>831</x:v>
      </x:c>
      <x:c r="K1147" s="1"/>
      <x:c r="L1147" s="1"/>
    </x:row>
    <x:row r="1148" ht="22" customHeight="1">
      <x:c r="A1148" s="8" t="n">
        <x:v>648</x:v>
      </x:c>
      <x:c r="B1148" s="6" t="n">
        <x:v>45276</x:v>
      </x:c>
      <x:c r="C1148" s="2" t="str">
        <x:v>Продукты</x:v>
      </x:c>
      <x:c r="D1148" s="2" t="str">
        <x:v>Молоко</x:v>
      </x:c>
      <x:c r="E1148" s="7" t="n">
        <x:v>138791.08</x:v>
      </x:c>
      <x:c r="F1148" s="9" t="n">
        <x:v>4</x:v>
      </x:c>
      <x:c r="G1148" s="2" t="str">
        <x:v>Московская область</x:v>
      </x:c>
      <x:c r="H1148" s="7" t="n">
        <x:f>E1148*F1148</x:f>
        <x:v>555164.32</x:v>
      </x:c>
      <x:c r="I1148" s="2" t="str">
        <x:f>TEXT(B1148,"yyyy-mm")</x:f>
        <x:v>2023-12</x:v>
      </x:c>
      <x:c r="J1148" s="8" t="n">
        <x:f>COUNTIFS($H$2:$H$1201,"&gt;"&amp;H1148)+COUNTIFS($H$2:H1148,H1148)</x:f>
        <x:v>363</x:v>
      </x:c>
      <x:c r="K1148" s="1"/>
      <x:c r="L1148" s="1"/>
    </x:row>
    <x:row r="1149" ht="22" customHeight="1">
      <x:c r="A1149" s="8" t="n">
        <x:v>377</x:v>
      </x:c>
      <x:c r="B1149" s="6" t="n">
        <x:v>45277</x:v>
      </x:c>
      <x:c r="C1149" s="2" t="str">
        <x:v>Товары для дома</x:v>
      </x:c>
      <x:c r="D1149" s="2" t="str">
        <x:v>Плед</x:v>
      </x:c>
      <x:c r="E1149" s="7" t="n">
        <x:v>144192.92</x:v>
      </x:c>
      <x:c r="F1149" s="9" t="n">
        <x:v>5</x:v>
      </x:c>
      <x:c r="G1149" s="2" t="str">
        <x:v>Санкт‑Петербург</x:v>
      </x:c>
      <x:c r="H1149" s="7" t="n">
        <x:f>E1149*F1149</x:f>
        <x:v>720964.6000000001</x:v>
      </x:c>
      <x:c r="I1149" s="2" t="str">
        <x:f>TEXT(B1149,"yyyy-mm")</x:f>
        <x:v>2023-12</x:v>
      </x:c>
      <x:c r="J1149" s="8" t="n">
        <x:f>COUNTIFS($H$2:$H$1201,"&gt;"&amp;H1149)+COUNTIFS($H$2:H1149,H1149)</x:f>
        <x:v>251</x:v>
      </x:c>
      <x:c r="K1149" s="1"/>
      <x:c r="L1149" s="1"/>
    </x:row>
    <x:row r="1150" ht="22" customHeight="1">
      <x:c r="A1150" s="8" t="n">
        <x:v>409</x:v>
      </x:c>
      <x:c r="B1150" s="6" t="n">
        <x:v>45277</x:v>
      </x:c>
      <x:c r="C1150" s="2" t="str">
        <x:v>Товары для дома</x:v>
      </x:c>
      <x:c r="D1150" s="2" t="str">
        <x:v>Полотенце</x:v>
      </x:c>
      <x:c r="E1150" s="7" t="n">
        <x:v>30047.71</x:v>
      </x:c>
      <x:c r="F1150" s="9" t="n">
        <x:v>3</x:v>
      </x:c>
      <x:c r="G1150" s="2" t="str">
        <x:v>Санкт‑Петербург</x:v>
      </x:c>
      <x:c r="H1150" s="7" t="n">
        <x:f>E1150*F1150</x:f>
        <x:v>90143.13</x:v>
      </x:c>
      <x:c r="I1150" s="2" t="str">
        <x:f>TEXT(B1150,"yyyy-mm")</x:f>
        <x:v>2023-12</x:v>
      </x:c>
      <x:c r="J1150" s="8" t="n">
        <x:f>COUNTIFS($H$2:$H$1201,"&gt;"&amp;H1150)+COUNTIFS($H$2:H1150,H1150)</x:f>
        <x:v>990</x:v>
      </x:c>
      <x:c r="K1150" s="1"/>
      <x:c r="L1150" s="1"/>
    </x:row>
    <x:row r="1151" ht="22" customHeight="1">
      <x:c r="A1151" s="8" t="n">
        <x:v>873</x:v>
      </x:c>
      <x:c r="B1151" s="6" t="n">
        <x:v>45277</x:v>
      </x:c>
      <x:c r="C1151" s="2" t="str">
        <x:v>Товары для дома</x:v>
      </x:c>
      <x:c r="D1151" s="2" t="str">
        <x:v>Кружка</x:v>
      </x:c>
      <x:c r="E1151" s="7" t="n">
        <x:v>10743.19</x:v>
      </x:c>
      <x:c r="F1151" s="9" t="n">
        <x:v>7</x:v>
      </x:c>
      <x:c r="G1151" s="2" t="str">
        <x:v>Санкт‑Петербург</x:v>
      </x:c>
      <x:c r="H1151" s="7" t="n">
        <x:f>E1151*F1151</x:f>
        <x:v>75202.33</x:v>
      </x:c>
      <x:c r="I1151" s="2" t="str">
        <x:f>TEXT(B1151,"yyyy-mm")</x:f>
        <x:v>2023-12</x:v>
      </x:c>
      <x:c r="J1151" s="8" t="n">
        <x:f>COUNTIFS($H$2:$H$1201,"&gt;"&amp;H1151)+COUNTIFS($H$2:H1151,H1151)</x:f>
        <x:v>1028</x:v>
      </x:c>
      <x:c r="K1151" s="1"/>
      <x:c r="L1151" s="1"/>
    </x:row>
    <x:row r="1152" ht="22" customHeight="1">
      <x:c r="A1152" s="8" t="n">
        <x:v>1191</x:v>
      </x:c>
      <x:c r="B1152" s="6" t="n">
        <x:v>45277</x:v>
      </x:c>
      <x:c r="C1152" s="2" t="str">
        <x:v>Товары для дома</x:v>
      </x:c>
      <x:c r="D1152" s="2" t="str">
        <x:v>Полотенце</x:v>
      </x:c>
      <x:c r="E1152" s="7" t="n">
        <x:v>53991.39</x:v>
      </x:c>
      <x:c r="F1152" s="9" t="n">
        <x:v>5</x:v>
      </x:c>
      <x:c r="G1152" s="2" t="str">
        <x:v>Санкт‑Петербург</x:v>
      </x:c>
      <x:c r="H1152" s="7" t="n">
        <x:f>E1152*F1152</x:f>
        <x:v>269956.95</x:v>
      </x:c>
      <x:c r="I1152" s="2" t="str">
        <x:f>TEXT(B1152,"yyyy-mm")</x:f>
        <x:v>2023-12</x:v>
      </x:c>
      <x:c r="J1152" s="8" t="n">
        <x:f>COUNTIFS($H$2:$H$1201,"&gt;"&amp;H1152)+COUNTIFS($H$2:H1152,H1152)</x:f>
        <x:v>669</x:v>
      </x:c>
      <x:c r="K1152" s="1"/>
      <x:c r="L1152" s="1"/>
    </x:row>
    <x:row r="1153" ht="22" customHeight="1">
      <x:c r="A1153" s="8" t="n">
        <x:v>867</x:v>
      </x:c>
      <x:c r="B1153" s="6" t="n">
        <x:v>45278</x:v>
      </x:c>
      <x:c r="C1153" s="2" t="str">
        <x:v>Продукты</x:v>
      </x:c>
      <x:c r="D1153" s="2" t="str">
        <x:v>Хлеб</x:v>
      </x:c>
      <x:c r="E1153" s="7" t="n">
        <x:v>49339.51</x:v>
      </x:c>
      <x:c r="F1153" s="9" t="n">
        <x:v>7</x:v>
      </x:c>
      <x:c r="G1153" s="2" t="str">
        <x:v>Казань</x:v>
      </x:c>
      <x:c r="H1153" s="7" t="n">
        <x:f>E1153*F1153</x:f>
        <x:v>345376.57</x:v>
      </x:c>
      <x:c r="I1153" s="2" t="str">
        <x:f>TEXT(B1153,"yyyy-mm")</x:f>
        <x:v>2023-12</x:v>
      </x:c>
      <x:c r="J1153" s="8" t="n">
        <x:f>COUNTIFS($H$2:$H$1201,"&gt;"&amp;H1153)+COUNTIFS($H$2:H1153,H1153)</x:f>
        <x:v>592</x:v>
      </x:c>
      <x:c r="K1153" s="1"/>
      <x:c r="L1153" s="1"/>
    </x:row>
    <x:row r="1154" ht="22" customHeight="1">
      <x:c r="A1154" s="8" t="n">
        <x:v>11</x:v>
      </x:c>
      <x:c r="B1154" s="6" t="n">
        <x:v>45279</x:v>
      </x:c>
      <x:c r="C1154" s="2" t="str">
        <x:v>Одежда</x:v>
      </x:c>
      <x:c r="D1154" s="2" t="str">
        <x:v>Куртка</x:v>
      </x:c>
      <x:c r="E1154" s="7" t="n">
        <x:v>35997.81</x:v>
      </x:c>
      <x:c r="F1154" s="9" t="n">
        <x:v>3</x:v>
      </x:c>
      <x:c r="G1154" s="2" t="str">
        <x:v>Санкт‑Петербург</x:v>
      </x:c>
      <x:c r="H1154" s="7" t="n">
        <x:f>E1154*F1154</x:f>
        <x:v>107993.43</x:v>
      </x:c>
      <x:c r="I1154" s="2" t="str">
        <x:f>TEXT(B1154,"yyyy-mm")</x:f>
        <x:v>2023-12</x:v>
      </x:c>
      <x:c r="J1154" s="8" t="n">
        <x:f>COUNTIFS($H$2:$H$1201,"&gt;"&amp;H1154)+COUNTIFS($H$2:H1154,H1154)</x:f>
        <x:v>953</x:v>
      </x:c>
      <x:c r="K1154" s="1"/>
      <x:c r="L1154" s="1"/>
    </x:row>
    <x:row r="1155" ht="22" customHeight="1">
      <x:c r="A1155" s="8" t="n">
        <x:v>679</x:v>
      </x:c>
      <x:c r="B1155" s="6" t="n">
        <x:v>45279</x:v>
      </x:c>
      <x:c r="C1155" s="2" t="str">
        <x:v>Электроника</x:v>
      </x:c>
      <x:c r="D1155" s="2" t="str">
        <x:v>Смартфон</x:v>
      </x:c>
      <x:c r="E1155" s="7" t="n">
        <x:v>142928.81</x:v>
      </x:c>
      <x:c r="F1155" s="9" t="n">
        <x:v>7</x:v>
      </x:c>
      <x:c r="G1155" s="2" t="str">
        <x:v>Екатеринбург</x:v>
      </x:c>
      <x:c r="H1155" s="7" t="n">
        <x:f>E1155*F1155</x:f>
        <x:v>1000501.6699999999</x:v>
      </x:c>
      <x:c r="I1155" s="2" t="str">
        <x:f>TEXT(B1155,"yyyy-mm")</x:f>
        <x:v>2023-12</x:v>
      </x:c>
      <x:c r="J1155" s="8" t="n">
        <x:f>COUNTIFS($H$2:$H$1201,"&gt;"&amp;H1155)+COUNTIFS($H$2:H1155,H1155)</x:f>
        <x:v>89</x:v>
      </x:c>
      <x:c r="K1155" s="1"/>
      <x:c r="L1155" s="1"/>
    </x:row>
    <x:row r="1156" ht="22" customHeight="1">
      <x:c r="A1156" s="8" t="n">
        <x:v>10</x:v>
      </x:c>
      <x:c r="B1156" s="6" t="n">
        <x:v>45280</x:v>
      </x:c>
      <x:c r="C1156" s="2" t="str">
        <x:v>Электроника</x:v>
      </x:c>
      <x:c r="D1156" s="2" t="str">
        <x:v>Смартфон</x:v>
      </x:c>
      <x:c r="E1156" s="7" t="n">
        <x:v>15985.22</x:v>
      </x:c>
      <x:c r="F1156" s="9" t="n">
        <x:v>4</x:v>
      </x:c>
      <x:c r="G1156" s="2" t="str">
        <x:v>Санкт‑Петербург</x:v>
      </x:c>
      <x:c r="H1156" s="7" t="n">
        <x:f>E1156*F1156</x:f>
        <x:v>63940.88</x:v>
      </x:c>
      <x:c r="I1156" s="2" t="str">
        <x:f>TEXT(B1156,"yyyy-mm")</x:f>
        <x:v>2023-12</x:v>
      </x:c>
      <x:c r="J1156" s="8" t="n">
        <x:f>COUNTIFS($H$2:$H$1201,"&gt;"&amp;H1156)+COUNTIFS($H$2:H1156,H1156)</x:f>
        <x:v>1050</x:v>
      </x:c>
      <x:c r="K1156" s="1"/>
      <x:c r="L1156" s="1"/>
    </x:row>
    <x:row r="1157" ht="22" customHeight="1">
      <x:c r="A1157" s="8" t="n">
        <x:v>394</x:v>
      </x:c>
      <x:c r="B1157" s="6" t="n">
        <x:v>45280</x:v>
      </x:c>
      <x:c r="C1157" s="2" t="str">
        <x:v>Одежда</x:v>
      </x:c>
      <x:c r="D1157" s="2" t="str">
        <x:v>Джинсы</x:v>
      </x:c>
      <x:c r="E1157" s="7" t="n">
        <x:v>3266.44</x:v>
      </x:c>
      <x:c r="F1157" s="9" t="n">
        <x:v>3</x:v>
      </x:c>
      <x:c r="G1157" s="2" t="str">
        <x:v>Екатеринбург</x:v>
      </x:c>
      <x:c r="H1157" s="7" t="n">
        <x:f>E1157*F1157</x:f>
        <x:v>9799.32</x:v>
      </x:c>
      <x:c r="I1157" s="2" t="str">
        <x:f>TEXT(B1157,"yyyy-mm")</x:f>
        <x:v>2023-12</x:v>
      </x:c>
      <x:c r="J1157" s="8" t="n">
        <x:f>COUNTIFS($H$2:$H$1201,"&gt;"&amp;H1157)+COUNTIFS($H$2:H1157,H1157)</x:f>
        <x:v>1184</x:v>
      </x:c>
      <x:c r="K1157" s="1"/>
      <x:c r="L1157" s="1"/>
    </x:row>
    <x:row r="1158" ht="22" customHeight="1">
      <x:c r="A1158" s="8" t="n">
        <x:v>875</x:v>
      </x:c>
      <x:c r="B1158" s="6" t="n">
        <x:v>45280</x:v>
      </x:c>
      <x:c r="C1158" s="2" t="str">
        <x:v>Товары для дома</x:v>
      </x:c>
      <x:c r="D1158" s="2" t="str">
        <x:v>Кружка</x:v>
      </x:c>
      <x:c r="E1158" s="7" t="n">
        <x:v>71650.62</x:v>
      </x:c>
      <x:c r="F1158" s="9" t="n">
        <x:v>5</x:v>
      </x:c>
      <x:c r="G1158" s="2" t="str">
        <x:v>Новосибирск</x:v>
      </x:c>
      <x:c r="H1158" s="7" t="n">
        <x:f>E1158*F1158</x:f>
        <x:v>358253.1</x:v>
      </x:c>
      <x:c r="I1158" s="2" t="str">
        <x:f>TEXT(B1158,"yyyy-mm")</x:f>
        <x:v>2023-12</x:v>
      </x:c>
      <x:c r="J1158" s="8" t="n">
        <x:f>COUNTIFS($H$2:$H$1201,"&gt;"&amp;H1158)+COUNTIFS($H$2:H1158,H1158)</x:f>
        <x:v>574</x:v>
      </x:c>
      <x:c r="K1158" s="1"/>
      <x:c r="L1158" s="1"/>
    </x:row>
    <x:row r="1159" ht="22" customHeight="1">
      <x:c r="A1159" s="8" t="n">
        <x:v>1075</x:v>
      </x:c>
      <x:c r="B1159" s="6" t="n">
        <x:v>45280</x:v>
      </x:c>
      <x:c r="C1159" s="2" t="str">
        <x:v>Продукты</x:v>
      </x:c>
      <x:c r="D1159" s="2" t="str">
        <x:v>Молоко</x:v>
      </x:c>
      <x:c r="E1159" s="7" t="n">
        <x:v>137385.46</x:v>
      </x:c>
      <x:c r="F1159" s="9" t="n">
        <x:v>5</x:v>
      </x:c>
      <x:c r="G1159" s="2" t="str">
        <x:v>Санкт‑Петербург</x:v>
      </x:c>
      <x:c r="H1159" s="7" t="n">
        <x:f>E1159*F1159</x:f>
        <x:v>686927.2999999999</x:v>
      </x:c>
      <x:c r="I1159" s="2" t="str">
        <x:f>TEXT(B1159,"yyyy-mm")</x:f>
        <x:v>2023-12</x:v>
      </x:c>
      <x:c r="J1159" s="8" t="n">
        <x:f>COUNTIFS($H$2:$H$1201,"&gt;"&amp;H1159)+COUNTIFS($H$2:H1159,H1159)</x:f>
        <x:v>272</x:v>
      </x:c>
      <x:c r="K1159" s="1"/>
      <x:c r="L1159" s="1"/>
    </x:row>
    <x:row r="1160" ht="22" customHeight="1">
      <x:c r="A1160" s="8" t="n">
        <x:v>1102</x:v>
      </x:c>
      <x:c r="B1160" s="6" t="n">
        <x:v>45280</x:v>
      </x:c>
      <x:c r="C1160" s="2" t="str">
        <x:v>Товары для дома</x:v>
      </x:c>
      <x:c r="D1160" s="2" t="str">
        <x:v>Полотенце</x:v>
      </x:c>
      <x:c r="E1160" s="7" t="n">
        <x:v>85568.45</x:v>
      </x:c>
      <x:c r="F1160" s="9" t="n">
        <x:v>9</x:v>
      </x:c>
      <x:c r="G1160" s="2" t="str">
        <x:v>Московская область</x:v>
      </x:c>
      <x:c r="H1160" s="7" t="n">
        <x:f>E1160*F1160</x:f>
        <x:v>770116.0499999999</x:v>
      </x:c>
      <x:c r="I1160" s="2" t="str">
        <x:f>TEXT(B1160,"yyyy-mm")</x:f>
        <x:v>2023-12</x:v>
      </x:c>
      <x:c r="J1160" s="8" t="n">
        <x:f>COUNTIFS($H$2:$H$1201,"&gt;"&amp;H1160)+COUNTIFS($H$2:H1160,H1160)</x:f>
        <x:v>216</x:v>
      </x:c>
      <x:c r="K1160" s="1"/>
      <x:c r="L1160" s="1"/>
    </x:row>
    <x:row r="1161" ht="22" customHeight="1">
      <x:c r="A1161" s="8" t="n">
        <x:v>58</x:v>
      </x:c>
      <x:c r="B1161" s="6" t="n">
        <x:v>45281</x:v>
      </x:c>
      <x:c r="C1161" s="2" t="str">
        <x:v>Продукты</x:v>
      </x:c>
      <x:c r="D1161" s="2" t="str">
        <x:v>Шоколад</x:v>
      </x:c>
      <x:c r="E1161" s="7" t="n">
        <x:v>92454.98</x:v>
      </x:c>
      <x:c r="F1161" s="9" t="n">
        <x:v>5</x:v>
      </x:c>
      <x:c r="G1161" s="2" t="str">
        <x:v>Московская область</x:v>
      </x:c>
      <x:c r="H1161" s="7" t="n">
        <x:f>E1161*F1161</x:f>
        <x:v>462274.89999999997</x:v>
      </x:c>
      <x:c r="I1161" s="2" t="str">
        <x:f>TEXT(B1161,"yyyy-mm")</x:f>
        <x:v>2023-12</x:v>
      </x:c>
      <x:c r="J1161" s="8" t="n">
        <x:f>COUNTIFS($H$2:$H$1201,"&gt;"&amp;H1161)+COUNTIFS($H$2:H1161,H1161)</x:f>
        <x:v>439</x:v>
      </x:c>
      <x:c r="K1161" s="1"/>
      <x:c r="L1161" s="1"/>
    </x:row>
    <x:row r="1162" ht="22" customHeight="1">
      <x:c r="A1162" s="8" t="n">
        <x:v>193</x:v>
      </x:c>
      <x:c r="B1162" s="6" t="n">
        <x:v>45281</x:v>
      </x:c>
      <x:c r="C1162" s="2" t="str">
        <x:v>Продукты</x:v>
      </x:c>
      <x:c r="D1162" s="2" t="str">
        <x:v>Хлеб</x:v>
      </x:c>
      <x:c r="E1162" s="7" t="n">
        <x:v>77144.55</x:v>
      </x:c>
      <x:c r="F1162" s="9" t="n">
        <x:v>1</x:v>
      </x:c>
      <x:c r="G1162" s="2" t="str">
        <x:v>Казань</x:v>
      </x:c>
      <x:c r="H1162" s="7" t="n">
        <x:f>E1162*F1162</x:f>
        <x:v>77144.55</x:v>
      </x:c>
      <x:c r="I1162" s="2" t="str">
        <x:f>TEXT(B1162,"yyyy-mm")</x:f>
        <x:v>2023-12</x:v>
      </x:c>
      <x:c r="J1162" s="8" t="n">
        <x:f>COUNTIFS($H$2:$H$1201,"&gt;"&amp;H1162)+COUNTIFS($H$2:H1162,H1162)</x:f>
        <x:v>1024</x:v>
      </x:c>
      <x:c r="K1162" s="1"/>
      <x:c r="L1162" s="1"/>
    </x:row>
    <x:row r="1163" ht="22" customHeight="1">
      <x:c r="A1163" s="8" t="n">
        <x:v>254</x:v>
      </x:c>
      <x:c r="B1163" s="6" t="n">
        <x:v>45281</x:v>
      </x:c>
      <x:c r="C1163" s="2" t="str">
        <x:v>Одежда</x:v>
      </x:c>
      <x:c r="D1163" s="2" t="str">
        <x:v>Футболка</x:v>
      </x:c>
      <x:c r="E1163" s="7" t="n">
        <x:v>6908.71</x:v>
      </x:c>
      <x:c r="F1163" s="9" t="n">
        <x:v>5</x:v>
      </x:c>
      <x:c r="G1163" s="2" t="str">
        <x:v>Новосибирск</x:v>
      </x:c>
      <x:c r="H1163" s="7" t="n">
        <x:f>E1163*F1163</x:f>
        <x:v>34543.55</x:v>
      </x:c>
      <x:c r="I1163" s="2" t="str">
        <x:f>TEXT(B1163,"yyyy-mm")</x:f>
        <x:v>2023-12</x:v>
      </x:c>
      <x:c r="J1163" s="8" t="n">
        <x:f>COUNTIFS($H$2:$H$1201,"&gt;"&amp;H1163)+COUNTIFS($H$2:H1163,H1163)</x:f>
        <x:v>1114</x:v>
      </x:c>
      <x:c r="K1163" s="1"/>
      <x:c r="L1163" s="1"/>
    </x:row>
    <x:row r="1164" ht="22" customHeight="1">
      <x:c r="A1164" s="8" t="n">
        <x:v>935</x:v>
      </x:c>
      <x:c r="B1164" s="6" t="n">
        <x:v>45281</x:v>
      </x:c>
      <x:c r="C1164" s="2" t="str">
        <x:v>Продукты</x:v>
      </x:c>
      <x:c r="D1164" s="2" t="str">
        <x:v>Хлеб</x:v>
      </x:c>
      <x:c r="E1164" s="7" t="n">
        <x:v>30340.49</x:v>
      </x:c>
      <x:c r="F1164" s="9" t="n">
        <x:v>8</x:v>
      </x:c>
      <x:c r="G1164" s="2" t="str">
        <x:v>Москва</x:v>
      </x:c>
      <x:c r="H1164" s="7" t="n">
        <x:f>E1164*F1164</x:f>
        <x:v>242723.92</x:v>
      </x:c>
      <x:c r="I1164" s="2" t="str">
        <x:f>TEXT(B1164,"yyyy-mm")</x:f>
        <x:v>2023-12</x:v>
      </x:c>
      <x:c r="J1164" s="8" t="n">
        <x:f>COUNTIFS($H$2:$H$1201,"&gt;"&amp;H1164)+COUNTIFS($H$2:H1164,H1164)</x:f>
        <x:v>717</x:v>
      </x:c>
      <x:c r="K1164" s="1"/>
      <x:c r="L1164" s="1"/>
    </x:row>
    <x:row r="1165" ht="22" customHeight="1">
      <x:c r="A1165" s="8" t="n">
        <x:v>1013</x:v>
      </x:c>
      <x:c r="B1165" s="6" t="n">
        <x:v>45281</x:v>
      </x:c>
      <x:c r="C1165" s="2" t="str">
        <x:v>Продукты</x:v>
      </x:c>
      <x:c r="D1165" s="2" t="str">
        <x:v>Кофе</x:v>
      </x:c>
      <x:c r="E1165" s="7" t="n">
        <x:v>114526.63</x:v>
      </x:c>
      <x:c r="F1165" s="9" t="n">
        <x:v>8</x:v>
      </x:c>
      <x:c r="G1165" s="2" t="str">
        <x:v>Москва</x:v>
      </x:c>
      <x:c r="H1165" s="7" t="n">
        <x:f>E1165*F1165</x:f>
        <x:v>916213.04</x:v>
      </x:c>
      <x:c r="I1165" s="2" t="str">
        <x:f>TEXT(B1165,"yyyy-mm")</x:f>
        <x:v>2023-12</x:v>
      </x:c>
      <x:c r="J1165" s="8" t="n">
        <x:f>COUNTIFS($H$2:$H$1201,"&gt;"&amp;H1165)+COUNTIFS($H$2:H1165,H1165)</x:f>
        <x:v>128</x:v>
      </x:c>
      <x:c r="K1165" s="1"/>
      <x:c r="L1165" s="1"/>
    </x:row>
    <x:row r="1166" ht="22" customHeight="1">
      <x:c r="A1166" s="8" t="n">
        <x:v>284</x:v>
      </x:c>
      <x:c r="B1166" s="6" t="n">
        <x:v>45282</x:v>
      </x:c>
      <x:c r="C1166" s="2" t="str">
        <x:v>Товары для дома</x:v>
      </x:c>
      <x:c r="D1166" s="2" t="str">
        <x:v>Подушка</x:v>
      </x:c>
      <x:c r="E1166" s="7" t="n">
        <x:v>12496.5</x:v>
      </x:c>
      <x:c r="F1166" s="9" t="n">
        <x:v>3</x:v>
      </x:c>
      <x:c r="G1166" s="2" t="str">
        <x:v>Санкт‑Петербург</x:v>
      </x:c>
      <x:c r="H1166" s="7" t="n">
        <x:f>E1166*F1166</x:f>
        <x:v>37489.5</x:v>
      </x:c>
      <x:c r="I1166" s="2" t="str">
        <x:f>TEXT(B1166,"yyyy-mm")</x:f>
        <x:v>2023-12</x:v>
      </x:c>
      <x:c r="J1166" s="8" t="n">
        <x:f>COUNTIFS($H$2:$H$1201,"&gt;"&amp;H1166)+COUNTIFS($H$2:H1166,H1166)</x:f>
        <x:v>1109</x:v>
      </x:c>
      <x:c r="K1166" s="1"/>
      <x:c r="L1166" s="1"/>
    </x:row>
    <x:row r="1167" ht="22" customHeight="1">
      <x:c r="A1167" s="8" t="n">
        <x:v>379</x:v>
      </x:c>
      <x:c r="B1167" s="6" t="n">
        <x:v>45282</x:v>
      </x:c>
      <x:c r="C1167" s="2" t="str">
        <x:v>Товары для дома</x:v>
      </x:c>
      <x:c r="D1167" s="2" t="str">
        <x:v>Кружка</x:v>
      </x:c>
      <x:c r="E1167" s="7" t="n">
        <x:v>16562.2</x:v>
      </x:c>
      <x:c r="F1167" s="9" t="n">
        <x:v>5</x:v>
      </x:c>
      <x:c r="G1167" s="2" t="str">
        <x:v>Казань</x:v>
      </x:c>
      <x:c r="H1167" s="7" t="n">
        <x:f>E1167*F1167</x:f>
        <x:v>82811</x:v>
      </x:c>
      <x:c r="I1167" s="2" t="str">
        <x:f>TEXT(B1167,"yyyy-mm")</x:f>
        <x:v>2023-12</x:v>
      </x:c>
      <x:c r="J1167" s="8" t="n">
        <x:f>COUNTIFS($H$2:$H$1201,"&gt;"&amp;H1167)+COUNTIFS($H$2:H1167,H1167)</x:f>
        <x:v>1009</x:v>
      </x:c>
      <x:c r="K1167" s="1"/>
      <x:c r="L1167" s="1"/>
    </x:row>
    <x:row r="1168" ht="22" customHeight="1">
      <x:c r="A1168" s="8" t="n">
        <x:v>754</x:v>
      </x:c>
      <x:c r="B1168" s="6" t="n">
        <x:v>45282</x:v>
      </x:c>
      <x:c r="C1168" s="2" t="str">
        <x:v>Товары для дома</x:v>
      </x:c>
      <x:c r="D1168" s="2" t="str">
        <x:v>Полотенце</x:v>
      </x:c>
      <x:c r="E1168" s="7" t="n">
        <x:v>21606.34</x:v>
      </x:c>
      <x:c r="F1168" s="9" t="n">
        <x:v>10</x:v>
      </x:c>
      <x:c r="G1168" s="2" t="str">
        <x:v>Новосибирск</x:v>
      </x:c>
      <x:c r="H1168" s="7" t="n">
        <x:f>E1168*F1168</x:f>
        <x:v>216063.4</x:v>
      </x:c>
      <x:c r="I1168" s="2" t="str">
        <x:f>TEXT(B1168,"yyyy-mm")</x:f>
        <x:v>2023-12</x:v>
      </x:c>
      <x:c r="J1168" s="8" t="n">
        <x:f>COUNTIFS($H$2:$H$1201,"&gt;"&amp;H1168)+COUNTIFS($H$2:H1168,H1168)</x:f>
        <x:v>763</x:v>
      </x:c>
      <x:c r="K1168" s="1"/>
      <x:c r="L1168" s="1"/>
    </x:row>
    <x:row r="1169" ht="22" customHeight="1">
      <x:c r="A1169" s="8" t="n">
        <x:v>266</x:v>
      </x:c>
      <x:c r="B1169" s="6" t="n">
        <x:v>45283</x:v>
      </x:c>
      <x:c r="C1169" s="2" t="str">
        <x:v>Одежда</x:v>
      </x:c>
      <x:c r="D1169" s="2" t="str">
        <x:v>Джинсы</x:v>
      </x:c>
      <x:c r="E1169" s="7" t="n">
        <x:v>42672.63</x:v>
      </x:c>
      <x:c r="F1169" s="9" t="n">
        <x:v>7</x:v>
      </x:c>
      <x:c r="G1169" s="2" t="str">
        <x:v>Москва</x:v>
      </x:c>
      <x:c r="H1169" s="7" t="n">
        <x:f>E1169*F1169</x:f>
        <x:v>298708.41</x:v>
      </x:c>
      <x:c r="I1169" s="2" t="str">
        <x:f>TEXT(B1169,"yyyy-mm")</x:f>
        <x:v>2023-12</x:v>
      </x:c>
      <x:c r="J1169" s="8" t="n">
        <x:f>COUNTIFS($H$2:$H$1201,"&gt;"&amp;H1169)+COUNTIFS($H$2:H1169,H1169)</x:f>
        <x:v>634</x:v>
      </x:c>
      <x:c r="K1169" s="1"/>
      <x:c r="L1169" s="1"/>
    </x:row>
    <x:row r="1170" ht="22" customHeight="1">
      <x:c r="A1170" s="8" t="n">
        <x:v>410</x:v>
      </x:c>
      <x:c r="B1170" s="6" t="n">
        <x:v>45283</x:v>
      </x:c>
      <x:c r="C1170" s="2" t="str">
        <x:v>Одежда</x:v>
      </x:c>
      <x:c r="D1170" s="2" t="str">
        <x:v>Куртка</x:v>
      </x:c>
      <x:c r="E1170" s="7" t="n">
        <x:v>52112.33</x:v>
      </x:c>
      <x:c r="F1170" s="9" t="n">
        <x:v>2</x:v>
      </x:c>
      <x:c r="G1170" s="2" t="str">
        <x:v>Московская область</x:v>
      </x:c>
      <x:c r="H1170" s="7" t="n">
        <x:f>E1170*F1170</x:f>
        <x:v>104224.66</x:v>
      </x:c>
      <x:c r="I1170" s="2" t="str">
        <x:f>TEXT(B1170,"yyyy-mm")</x:f>
        <x:v>2023-12</x:v>
      </x:c>
      <x:c r="J1170" s="8" t="n">
        <x:f>COUNTIFS($H$2:$H$1201,"&gt;"&amp;H1170)+COUNTIFS($H$2:H1170,H1170)</x:f>
        <x:v>962</x:v>
      </x:c>
      <x:c r="K1170" s="1"/>
      <x:c r="L1170" s="1"/>
    </x:row>
    <x:row r="1171" ht="22" customHeight="1">
      <x:c r="A1171" s="8" t="n">
        <x:v>751</x:v>
      </x:c>
      <x:c r="B1171" s="6" t="n">
        <x:v>45283</x:v>
      </x:c>
      <x:c r="C1171" s="2" t="str">
        <x:v>Электроника</x:v>
      </x:c>
      <x:c r="D1171" s="2" t="str">
        <x:v>Ноутбук</x:v>
      </x:c>
      <x:c r="E1171" s="7" t="n">
        <x:v>17238.1</x:v>
      </x:c>
      <x:c r="F1171" s="9" t="n">
        <x:v>9</x:v>
      </x:c>
      <x:c r="G1171" s="2" t="str">
        <x:v>Московская область</x:v>
      </x:c>
      <x:c r="H1171" s="7" t="n">
        <x:f>E1171*F1171</x:f>
        <x:v>155142.9</x:v>
      </x:c>
      <x:c r="I1171" s="2" t="str">
        <x:f>TEXT(B1171,"yyyy-mm")</x:f>
        <x:v>2023-12</x:v>
      </x:c>
      <x:c r="J1171" s="8" t="n">
        <x:f>COUNTIFS($H$2:$H$1201,"&gt;"&amp;H1171)+COUNTIFS($H$2:H1171,H1171)</x:f>
        <x:v>844</x:v>
      </x:c>
      <x:c r="K1171" s="1"/>
      <x:c r="L1171" s="1"/>
    </x:row>
    <x:row r="1172" ht="22" customHeight="1">
      <x:c r="A1172" s="8" t="n">
        <x:v>1125</x:v>
      </x:c>
      <x:c r="B1172" s="6" t="n">
        <x:v>45283</x:v>
      </x:c>
      <x:c r="C1172" s="2" t="str">
        <x:v>Продукты</x:v>
      </x:c>
      <x:c r="D1172" s="2" t="str">
        <x:v>Кофе</x:v>
      </x:c>
      <x:c r="E1172" s="7" t="n">
        <x:v>94343.08</x:v>
      </x:c>
      <x:c r="F1172" s="9" t="n">
        <x:v>8</x:v>
      </x:c>
      <x:c r="G1172" s="2" t="str">
        <x:v>Казань</x:v>
      </x:c>
      <x:c r="H1172" s="7" t="n">
        <x:f>E1172*F1172</x:f>
        <x:v>754744.64</x:v>
      </x:c>
      <x:c r="I1172" s="2" t="str">
        <x:f>TEXT(B1172,"yyyy-mm")</x:f>
        <x:v>2023-12</x:v>
      </x:c>
      <x:c r="J1172" s="8" t="n">
        <x:f>COUNTIFS($H$2:$H$1201,"&gt;"&amp;H1172)+COUNTIFS($H$2:H1172,H1172)</x:f>
        <x:v>224</x:v>
      </x:c>
      <x:c r="K1172" s="1"/>
      <x:c r="L1172" s="1"/>
    </x:row>
    <x:row r="1173" ht="22" customHeight="1">
      <x:c r="A1173" s="8" t="n">
        <x:v>1179</x:v>
      </x:c>
      <x:c r="B1173" s="6" t="n">
        <x:v>45283</x:v>
      </x:c>
      <x:c r="C1173" s="2" t="str">
        <x:v>Одежда</x:v>
      </x:c>
      <x:c r="D1173" s="2" t="str">
        <x:v>Куртка</x:v>
      </x:c>
      <x:c r="E1173" s="7" t="n">
        <x:v>116314.06</x:v>
      </x:c>
      <x:c r="F1173" s="9" t="n">
        <x:v>9</x:v>
      </x:c>
      <x:c r="G1173" s="2" t="str">
        <x:v>Казань</x:v>
      </x:c>
      <x:c r="H1173" s="7" t="n">
        <x:f>E1173*F1173</x:f>
        <x:v>1046826.54</x:v>
      </x:c>
      <x:c r="I1173" s="2" t="str">
        <x:f>TEXT(B1173,"yyyy-mm")</x:f>
        <x:v>2023-12</x:v>
      </x:c>
      <x:c r="J1173" s="8" t="n">
        <x:f>COUNTIFS($H$2:$H$1201,"&gt;"&amp;H1173)+COUNTIFS($H$2:H1173,H1173)</x:f>
        <x:v>74</x:v>
      </x:c>
      <x:c r="K1173" s="1"/>
      <x:c r="L1173" s="1"/>
    </x:row>
    <x:row r="1174" ht="22" customHeight="1">
      <x:c r="A1174" s="8" t="n">
        <x:v>291</x:v>
      </x:c>
      <x:c r="B1174" s="6" t="n">
        <x:v>45284</x:v>
      </x:c>
      <x:c r="C1174" s="2" t="str">
        <x:v>Электроника</x:v>
      </x:c>
      <x:c r="D1174" s="2" t="str">
        <x:v>Ноутбук</x:v>
      </x:c>
      <x:c r="E1174" s="7" t="n">
        <x:v>38811.15</x:v>
      </x:c>
      <x:c r="F1174" s="9" t="n">
        <x:v>10</x:v>
      </x:c>
      <x:c r="G1174" s="2" t="str">
        <x:v>Новосибирск</x:v>
      </x:c>
      <x:c r="H1174" s="7" t="n">
        <x:f>E1174*F1174</x:f>
        <x:v>388111.5</x:v>
      </x:c>
      <x:c r="I1174" s="2" t="str">
        <x:f>TEXT(B1174,"yyyy-mm")</x:f>
        <x:v>2023-12</x:v>
      </x:c>
      <x:c r="J1174" s="8" t="n">
        <x:f>COUNTIFS($H$2:$H$1201,"&gt;"&amp;H1174)+COUNTIFS($H$2:H1174,H1174)</x:f>
        <x:v>540</x:v>
      </x:c>
      <x:c r="K1174" s="1"/>
      <x:c r="L1174" s="1"/>
    </x:row>
    <x:row r="1175" ht="22" customHeight="1">
      <x:c r="A1175" s="8" t="n">
        <x:v>492</x:v>
      </x:c>
      <x:c r="B1175" s="6" t="n">
        <x:v>45284</x:v>
      </x:c>
      <x:c r="C1175" s="2" t="str">
        <x:v>Товары для дома</x:v>
      </x:c>
      <x:c r="D1175" s="2" t="str">
        <x:v>Подушка</x:v>
      </x:c>
      <x:c r="E1175" s="7" t="n">
        <x:v>84170.92</x:v>
      </x:c>
      <x:c r="F1175" s="9" t="n">
        <x:v>2</x:v>
      </x:c>
      <x:c r="G1175" s="2" t="str">
        <x:v>Санкт‑Петербург</x:v>
      </x:c>
      <x:c r="H1175" s="7" t="n">
        <x:f>E1175*F1175</x:f>
        <x:v>168341.84</x:v>
      </x:c>
      <x:c r="I1175" s="2" t="str">
        <x:f>TEXT(B1175,"yyyy-mm")</x:f>
        <x:v>2023-12</x:v>
      </x:c>
      <x:c r="J1175" s="8" t="n">
        <x:f>COUNTIFS($H$2:$H$1201,"&gt;"&amp;H1175)+COUNTIFS($H$2:H1175,H1175)</x:f>
        <x:v>825</x:v>
      </x:c>
      <x:c r="K1175" s="1"/>
      <x:c r="L1175" s="1"/>
    </x:row>
    <x:row r="1176" ht="22" customHeight="1">
      <x:c r="A1176" s="8" t="n">
        <x:v>770</x:v>
      </x:c>
      <x:c r="B1176" s="6" t="n">
        <x:v>45284</x:v>
      </x:c>
      <x:c r="C1176" s="2" t="str">
        <x:v>Одежда</x:v>
      </x:c>
      <x:c r="D1176" s="2" t="str">
        <x:v>Кроссовки</x:v>
      </x:c>
      <x:c r="E1176" s="7" t="n">
        <x:v>99378.23</x:v>
      </x:c>
      <x:c r="F1176" s="9" t="n">
        <x:v>7</x:v>
      </x:c>
      <x:c r="G1176" s="2" t="str">
        <x:v>Екатеринбург</x:v>
      </x:c>
      <x:c r="H1176" s="7" t="n">
        <x:f>E1176*F1176</x:f>
        <x:v>695647.61</x:v>
      </x:c>
      <x:c r="I1176" s="2" t="str">
        <x:f>TEXT(B1176,"yyyy-mm")</x:f>
        <x:v>2023-12</x:v>
      </x:c>
      <x:c r="J1176" s="8" t="n">
        <x:f>COUNTIFS($H$2:$H$1201,"&gt;"&amp;H1176)+COUNTIFS($H$2:H1176,H1176)</x:f>
        <x:v>263</x:v>
      </x:c>
      <x:c r="K1176" s="1"/>
      <x:c r="L1176" s="1"/>
    </x:row>
    <x:row r="1177" ht="22" customHeight="1">
      <x:c r="A1177" s="8" t="n">
        <x:v>550</x:v>
      </x:c>
      <x:c r="B1177" s="6" t="n">
        <x:v>45285</x:v>
      </x:c>
      <x:c r="C1177" s="2" t="str">
        <x:v>Товары для дома</x:v>
      </x:c>
      <x:c r="D1177" s="2" t="str">
        <x:v>Полотенце</x:v>
      </x:c>
      <x:c r="E1177" s="7" t="n">
        <x:v>22685.05</x:v>
      </x:c>
      <x:c r="F1177" s="9" t="n">
        <x:v>2</x:v>
      </x:c>
      <x:c r="G1177" s="2" t="str">
        <x:v>Москва</x:v>
      </x:c>
      <x:c r="H1177" s="7" t="n">
        <x:f>E1177*F1177</x:f>
        <x:v>45370.1</x:v>
      </x:c>
      <x:c r="I1177" s="2" t="str">
        <x:f>TEXT(B1177,"yyyy-mm")</x:f>
        <x:v>2023-12</x:v>
      </x:c>
      <x:c r="J1177" s="8" t="n">
        <x:f>COUNTIFS($H$2:$H$1201,"&gt;"&amp;H1177)+COUNTIFS($H$2:H1177,H1177)</x:f>
        <x:v>1095</x:v>
      </x:c>
      <x:c r="K1177" s="1"/>
      <x:c r="L1177" s="1"/>
    </x:row>
    <x:row r="1178" ht="22" customHeight="1">
      <x:c r="A1178" s="8" t="n">
        <x:v>958</x:v>
      </x:c>
      <x:c r="B1178" s="6" t="n">
        <x:v>45285</x:v>
      </x:c>
      <x:c r="C1178" s="2" t="str">
        <x:v>Одежда</x:v>
      </x:c>
      <x:c r="D1178" s="2" t="str">
        <x:v>Джинсы</x:v>
      </x:c>
      <x:c r="E1178" s="7" t="n">
        <x:v>27217.37</x:v>
      </x:c>
      <x:c r="F1178" s="9" t="n">
        <x:v>5</x:v>
      </x:c>
      <x:c r="G1178" s="2" t="str">
        <x:v>Москва</x:v>
      </x:c>
      <x:c r="H1178" s="7" t="n">
        <x:f>E1178*F1178</x:f>
        <x:v>136086.85</x:v>
      </x:c>
      <x:c r="I1178" s="2" t="str">
        <x:f>TEXT(B1178,"yyyy-mm")</x:f>
        <x:v>2023-12</x:v>
      </x:c>
      <x:c r="J1178" s="8" t="n">
        <x:f>COUNTIFS($H$2:$H$1201,"&gt;"&amp;H1178)+COUNTIFS($H$2:H1178,H1178)</x:f>
        <x:v>890</x:v>
      </x:c>
      <x:c r="K1178" s="1"/>
      <x:c r="L1178" s="1"/>
    </x:row>
    <x:row r="1179" ht="22" customHeight="1">
      <x:c r="A1179" s="8" t="n">
        <x:v>1021</x:v>
      </x:c>
      <x:c r="B1179" s="6" t="n">
        <x:v>45285</x:v>
      </x:c>
      <x:c r="C1179" s="2" t="str">
        <x:v>Одежда</x:v>
      </x:c>
      <x:c r="D1179" s="2" t="str">
        <x:v>Джинсы</x:v>
      </x:c>
      <x:c r="E1179" s="7" t="n">
        <x:v>120267.66</x:v>
      </x:c>
      <x:c r="F1179" s="9" t="n">
        <x:v>5</x:v>
      </x:c>
      <x:c r="G1179" s="2" t="str">
        <x:v>Новосибирск</x:v>
      </x:c>
      <x:c r="H1179" s="7" t="n">
        <x:f>E1179*F1179</x:f>
        <x:v>601338.3</x:v>
      </x:c>
      <x:c r="I1179" s="2" t="str">
        <x:f>TEXT(B1179,"yyyy-mm")</x:f>
        <x:v>2023-12</x:v>
      </x:c>
      <x:c r="J1179" s="8" t="n">
        <x:f>COUNTIFS($H$2:$H$1201,"&gt;"&amp;H1179)+COUNTIFS($H$2:H1179,H1179)</x:f>
        <x:v>316</x:v>
      </x:c>
      <x:c r="K1179" s="1"/>
      <x:c r="L1179" s="1"/>
    </x:row>
    <x:row r="1180" ht="22" customHeight="1">
      <x:c r="A1180" s="8" t="n">
        <x:v>553</x:v>
      </x:c>
      <x:c r="B1180" s="6" t="n">
        <x:v>45286</x:v>
      </x:c>
      <x:c r="C1180" s="2" t="str">
        <x:v>Одежда</x:v>
      </x:c>
      <x:c r="D1180" s="2" t="str">
        <x:v>Куртка</x:v>
      </x:c>
      <x:c r="E1180" s="7" t="n">
        <x:v>104764.63</x:v>
      </x:c>
      <x:c r="F1180" s="9" t="n">
        <x:v>9</x:v>
      </x:c>
      <x:c r="G1180" s="2" t="str">
        <x:v>Новосибирск</x:v>
      </x:c>
      <x:c r="H1180" s="7" t="n">
        <x:f>E1180*F1180</x:f>
        <x:v>942881.67</x:v>
      </x:c>
      <x:c r="I1180" s="2" t="str">
        <x:f>TEXT(B1180,"yyyy-mm")</x:f>
        <x:v>2023-12</x:v>
      </x:c>
      <x:c r="J1180" s="8" t="n">
        <x:f>COUNTIFS($H$2:$H$1201,"&gt;"&amp;H1180)+COUNTIFS($H$2:H1180,H1180)</x:f>
        <x:v>112</x:v>
      </x:c>
      <x:c r="K1180" s="1"/>
      <x:c r="L1180" s="1"/>
    </x:row>
    <x:row r="1181" ht="22" customHeight="1">
      <x:c r="A1181" s="8" t="n">
        <x:v>1177</x:v>
      </x:c>
      <x:c r="B1181" s="6" t="n">
        <x:v>45286</x:v>
      </x:c>
      <x:c r="C1181" s="2" t="str">
        <x:v>Продукты</x:v>
      </x:c>
      <x:c r="D1181" s="2" t="str">
        <x:v>Молоко</x:v>
      </x:c>
      <x:c r="E1181" s="7" t="n">
        <x:v>108100.5</x:v>
      </x:c>
      <x:c r="F1181" s="9" t="n">
        <x:v>6</x:v>
      </x:c>
      <x:c r="G1181" s="2" t="str">
        <x:v>Московская область</x:v>
      </x:c>
      <x:c r="H1181" s="7" t="n">
        <x:f>E1181*F1181</x:f>
        <x:v>648603</x:v>
      </x:c>
      <x:c r="I1181" s="2" t="str">
        <x:f>TEXT(B1181,"yyyy-mm")</x:f>
        <x:v>2023-12</x:v>
      </x:c>
      <x:c r="J1181" s="8" t="n">
        <x:f>COUNTIFS($H$2:$H$1201,"&gt;"&amp;H1181)+COUNTIFS($H$2:H1181,H1181)</x:f>
        <x:v>297</x:v>
      </x:c>
      <x:c r="K1181" s="1"/>
      <x:c r="L1181" s="1"/>
    </x:row>
    <x:row r="1182" ht="22" customHeight="1">
      <x:c r="A1182" s="8" t="n">
        <x:v>122</x:v>
      </x:c>
      <x:c r="B1182" s="6" t="n">
        <x:v>45287</x:v>
      </x:c>
      <x:c r="C1182" s="2" t="str">
        <x:v>Одежда</x:v>
      </x:c>
      <x:c r="D1182" s="2" t="str">
        <x:v>Кроссовки</x:v>
      </x:c>
      <x:c r="E1182" s="7" t="n">
        <x:v>142679.97</x:v>
      </x:c>
      <x:c r="F1182" s="9" t="n">
        <x:v>6</x:v>
      </x:c>
      <x:c r="G1182" s="2" t="str">
        <x:v>Казань</x:v>
      </x:c>
      <x:c r="H1182" s="7" t="n">
        <x:f>E1182*F1182</x:f>
        <x:v>856079.8200000001</x:v>
      </x:c>
      <x:c r="I1182" s="2" t="str">
        <x:f>TEXT(B1182,"yyyy-mm")</x:f>
        <x:v>2023-12</x:v>
      </x:c>
      <x:c r="J1182" s="8" t="n">
        <x:f>COUNTIFS($H$2:$H$1201,"&gt;"&amp;H1182)+COUNTIFS($H$2:H1182,H1182)</x:f>
        <x:v>159</x:v>
      </x:c>
      <x:c r="K1182" s="1"/>
      <x:c r="L1182" s="1"/>
    </x:row>
    <x:row r="1183" ht="22" customHeight="1">
      <x:c r="A1183" s="8" t="n">
        <x:v>397</x:v>
      </x:c>
      <x:c r="B1183" s="6" t="n">
        <x:v>45287</x:v>
      </x:c>
      <x:c r="C1183" s="2" t="str">
        <x:v>Электроника</x:v>
      </x:c>
      <x:c r="D1183" s="2" t="str">
        <x:v>Наушники</x:v>
      </x:c>
      <x:c r="E1183" s="7" t="n">
        <x:v>35464.46</x:v>
      </x:c>
      <x:c r="F1183" s="9" t="n">
        <x:v>10</x:v>
      </x:c>
      <x:c r="G1183" s="2" t="str">
        <x:v>Новосибирск</x:v>
      </x:c>
      <x:c r="H1183" s="7" t="n">
        <x:f>E1183*F1183</x:f>
        <x:v>354644.6</x:v>
      </x:c>
      <x:c r="I1183" s="2" t="str">
        <x:f>TEXT(B1183,"yyyy-mm")</x:f>
        <x:v>2023-12</x:v>
      </x:c>
      <x:c r="J1183" s="8" t="n">
        <x:f>COUNTIFS($H$2:$H$1201,"&gt;"&amp;H1183)+COUNTIFS($H$2:H1183,H1183)</x:f>
        <x:v>582</x:v>
      </x:c>
      <x:c r="K1183" s="1"/>
      <x:c r="L1183" s="1"/>
    </x:row>
    <x:row r="1184" ht="22" customHeight="1">
      <x:c r="A1184" s="8" t="n">
        <x:v>870</x:v>
      </x:c>
      <x:c r="B1184" s="6" t="n">
        <x:v>45287</x:v>
      </x:c>
      <x:c r="C1184" s="2" t="str">
        <x:v>Товары для дома</x:v>
      </x:c>
      <x:c r="D1184" s="2" t="str">
        <x:v>Полотенце</x:v>
      </x:c>
      <x:c r="E1184" s="7" t="n">
        <x:v>81574.84</x:v>
      </x:c>
      <x:c r="F1184" s="9" t="n">
        <x:v>7</x:v>
      </x:c>
      <x:c r="G1184" s="2" t="str">
        <x:v>Екатеринбург</x:v>
      </x:c>
      <x:c r="H1184" s="7" t="n">
        <x:f>E1184*F1184</x:f>
        <x:v>571023.88</x:v>
      </x:c>
      <x:c r="I1184" s="2" t="str">
        <x:f>TEXT(B1184,"yyyy-mm")</x:f>
        <x:v>2023-12</x:v>
      </x:c>
      <x:c r="J1184" s="8" t="n">
        <x:f>COUNTIFS($H$2:$H$1201,"&gt;"&amp;H1184)+COUNTIFS($H$2:H1184,H1184)</x:f>
        <x:v>346</x:v>
      </x:c>
      <x:c r="K1184" s="1"/>
      <x:c r="L1184" s="1"/>
    </x:row>
    <x:row r="1185" ht="22" customHeight="1">
      <x:c r="A1185" s="8" t="n">
        <x:v>894</x:v>
      </x:c>
      <x:c r="B1185" s="6" t="n">
        <x:v>45287</x:v>
      </x:c>
      <x:c r="C1185" s="2" t="str">
        <x:v>Электроника</x:v>
      </x:c>
      <x:c r="D1185" s="2" t="str">
        <x:v>Наушники</x:v>
      </x:c>
      <x:c r="E1185" s="7" t="n">
        <x:v>136318.51</x:v>
      </x:c>
      <x:c r="F1185" s="9" t="n">
        <x:v>7</x:v>
      </x:c>
      <x:c r="G1185" s="2" t="str">
        <x:v>Санкт‑Петербург</x:v>
      </x:c>
      <x:c r="H1185" s="7" t="n">
        <x:f>E1185*F1185</x:f>
        <x:v>954229.5700000001</x:v>
      </x:c>
      <x:c r="I1185" s="2" t="str">
        <x:f>TEXT(B1185,"yyyy-mm")</x:f>
        <x:v>2023-12</x:v>
      </x:c>
      <x:c r="J1185" s="8" t="n">
        <x:f>COUNTIFS($H$2:$H$1201,"&gt;"&amp;H1185)+COUNTIFS($H$2:H1185,H1185)</x:f>
        <x:v>107</x:v>
      </x:c>
      <x:c r="K1185" s="1"/>
      <x:c r="L1185" s="1"/>
    </x:row>
    <x:row r="1186" ht="22" customHeight="1">
      <x:c r="A1186" s="8" t="n">
        <x:v>498</x:v>
      </x:c>
      <x:c r="B1186" s="6" t="n">
        <x:v>45288</x:v>
      </x:c>
      <x:c r="C1186" s="2" t="str">
        <x:v>Продукты</x:v>
      </x:c>
      <x:c r="D1186" s="2" t="str">
        <x:v>Хлеб</x:v>
      </x:c>
      <x:c r="E1186" s="7" t="n">
        <x:v>99102.17</x:v>
      </x:c>
      <x:c r="F1186" s="9" t="n">
        <x:v>4</x:v>
      </x:c>
      <x:c r="G1186" s="2" t="str">
        <x:v>Московская область</x:v>
      </x:c>
      <x:c r="H1186" s="7" t="n">
        <x:f>E1186*F1186</x:f>
        <x:v>396408.68</x:v>
      </x:c>
      <x:c r="I1186" s="2" t="str">
        <x:f>TEXT(B1186,"yyyy-mm")</x:f>
        <x:v>2023-12</x:v>
      </x:c>
      <x:c r="J1186" s="8" t="n">
        <x:f>COUNTIFS($H$2:$H$1201,"&gt;"&amp;H1186)+COUNTIFS($H$2:H1186,H1186)</x:f>
        <x:v>525</x:v>
      </x:c>
      <x:c r="K1186" s="1"/>
      <x:c r="L1186" s="1"/>
    </x:row>
    <x:row r="1187" ht="22" customHeight="1">
      <x:c r="A1187" s="8" t="n">
        <x:v>650</x:v>
      </x:c>
      <x:c r="B1187" s="6" t="n">
        <x:v>45288</x:v>
      </x:c>
      <x:c r="C1187" s="2" t="str">
        <x:v>Продукты</x:v>
      </x:c>
      <x:c r="D1187" s="2" t="str">
        <x:v>Хлеб</x:v>
      </x:c>
      <x:c r="E1187" s="7" t="n">
        <x:v>69663.52</x:v>
      </x:c>
      <x:c r="F1187" s="9" t="n">
        <x:v>8</x:v>
      </x:c>
      <x:c r="G1187" s="2" t="str">
        <x:v>Санкт‑Петербург</x:v>
      </x:c>
      <x:c r="H1187" s="7" t="n">
        <x:f>E1187*F1187</x:f>
        <x:v>557308.16</x:v>
      </x:c>
      <x:c r="I1187" s="2" t="str">
        <x:f>TEXT(B1187,"yyyy-mm")</x:f>
        <x:v>2023-12</x:v>
      </x:c>
      <x:c r="J1187" s="8" t="n">
        <x:f>COUNTIFS($H$2:$H$1201,"&gt;"&amp;H1187)+COUNTIFS($H$2:H1187,H1187)</x:f>
        <x:v>362</x:v>
      </x:c>
      <x:c r="K1187" s="1"/>
      <x:c r="L1187" s="1"/>
    </x:row>
    <x:row r="1188" ht="22" customHeight="1">
      <x:c r="A1188" s="8" t="n">
        <x:v>872</x:v>
      </x:c>
      <x:c r="B1188" s="6" t="n">
        <x:v>45288</x:v>
      </x:c>
      <x:c r="C1188" s="2" t="str">
        <x:v>Электроника</x:v>
      </x:c>
      <x:c r="D1188" s="2" t="str">
        <x:v>Наушники</x:v>
      </x:c>
      <x:c r="E1188" s="7" t="n">
        <x:v>120043.91</x:v>
      </x:c>
      <x:c r="F1188" s="9" t="n">
        <x:v>10</x:v>
      </x:c>
      <x:c r="G1188" s="2" t="str">
        <x:v>Новосибирск</x:v>
      </x:c>
      <x:c r="H1188" s="7" t="n">
        <x:f>E1188*F1188</x:f>
        <x:v>1200439.1</x:v>
      </x:c>
      <x:c r="I1188" s="2" t="str">
        <x:f>TEXT(B1188,"yyyy-mm")</x:f>
        <x:v>2023-12</x:v>
      </x:c>
      <x:c r="J1188" s="8" t="n">
        <x:f>COUNTIFS($H$2:$H$1201,"&gt;"&amp;H1188)+COUNTIFS($H$2:H1188,H1188)</x:f>
        <x:v>32</x:v>
      </x:c>
      <x:c r="K1188" s="1"/>
      <x:c r="L1188" s="1"/>
    </x:row>
    <x:row r="1189" ht="22" customHeight="1">
      <x:c r="A1189" s="8" t="n">
        <x:v>874</x:v>
      </x:c>
      <x:c r="B1189" s="6" t="n">
        <x:v>45288</x:v>
      </x:c>
      <x:c r="C1189" s="2" t="str">
        <x:v>Продукты</x:v>
      </x:c>
      <x:c r="D1189" s="2" t="str">
        <x:v>Молоко</x:v>
      </x:c>
      <x:c r="E1189" s="7" t="n">
        <x:v>12346.46</x:v>
      </x:c>
      <x:c r="F1189" s="9" t="n">
        <x:v>1</x:v>
      </x:c>
      <x:c r="G1189" s="2" t="str">
        <x:v>Казань</x:v>
      </x:c>
      <x:c r="H1189" s="7" t="n">
        <x:f>E1189*F1189</x:f>
        <x:v>12346.46</x:v>
      </x:c>
      <x:c r="I1189" s="2" t="str">
        <x:f>TEXT(B1189,"yyyy-mm")</x:f>
        <x:v>2023-12</x:v>
      </x:c>
      <x:c r="J1189" s="8" t="n">
        <x:f>COUNTIFS($H$2:$H$1201,"&gt;"&amp;H1189)+COUNTIFS($H$2:H1189,H1189)</x:f>
        <x:v>1177</x:v>
      </x:c>
      <x:c r="K1189" s="1"/>
      <x:c r="L1189" s="1"/>
    </x:row>
    <x:row r="1190" ht="22" customHeight="1">
      <x:c r="A1190" s="8" t="n">
        <x:v>1029</x:v>
      </x:c>
      <x:c r="B1190" s="6" t="n">
        <x:v>45288</x:v>
      </x:c>
      <x:c r="C1190" s="2" t="str">
        <x:v>Электроника</x:v>
      </x:c>
      <x:c r="D1190" s="2" t="str">
        <x:v>Наушники</x:v>
      </x:c>
      <x:c r="E1190" s="7" t="n">
        <x:v>15011.35</x:v>
      </x:c>
      <x:c r="F1190" s="9" t="n">
        <x:v>2</x:v>
      </x:c>
      <x:c r="G1190" s="2" t="str">
        <x:v>Новосибирск</x:v>
      </x:c>
      <x:c r="H1190" s="7" t="n">
        <x:f>E1190*F1190</x:f>
        <x:v>30022.7</x:v>
      </x:c>
      <x:c r="I1190" s="2" t="str">
        <x:f>TEXT(B1190,"yyyy-mm")</x:f>
        <x:v>2023-12</x:v>
      </x:c>
      <x:c r="J1190" s="8" t="n">
        <x:f>COUNTIFS($H$2:$H$1201,"&gt;"&amp;H1190)+COUNTIFS($H$2:H1190,H1190)</x:f>
        <x:v>1127</x:v>
      </x:c>
      <x:c r="K1190" s="1"/>
      <x:c r="L1190" s="1"/>
    </x:row>
    <x:row r="1191" ht="22" customHeight="1">
      <x:c r="A1191" s="8" t="n">
        <x:v>348</x:v>
      </x:c>
      <x:c r="B1191" s="6" t="n">
        <x:v>45289</x:v>
      </x:c>
      <x:c r="C1191" s="2" t="str">
        <x:v>Товары для дома</x:v>
      </x:c>
      <x:c r="D1191" s="2" t="str">
        <x:v>Полотенце</x:v>
      </x:c>
      <x:c r="E1191" s="7" t="n">
        <x:v>139659.39</x:v>
      </x:c>
      <x:c r="F1191" s="9" t="n">
        <x:v>9</x:v>
      </x:c>
      <x:c r="G1191" s="2" t="str">
        <x:v>Новосибирск</x:v>
      </x:c>
      <x:c r="H1191" s="7" t="n">
        <x:f>E1191*F1191</x:f>
        <x:v>1256934.5100000002</x:v>
      </x:c>
      <x:c r="I1191" s="2" t="str">
        <x:f>TEXT(B1191,"yyyy-mm")</x:f>
        <x:v>2023-12</x:v>
      </x:c>
      <x:c r="J1191" s="8" t="n">
        <x:f>COUNTIFS($H$2:$H$1201,"&gt;"&amp;H1191)+COUNTIFS($H$2:H1191,H1191)</x:f>
        <x:v>25</x:v>
      </x:c>
      <x:c r="K1191" s="1"/>
      <x:c r="L1191" s="1"/>
    </x:row>
    <x:row r="1192" ht="22" customHeight="1">
      <x:c r="A1192" s="8" t="n">
        <x:v>401</x:v>
      </x:c>
      <x:c r="B1192" s="6" t="n">
        <x:v>45289</x:v>
      </x:c>
      <x:c r="C1192" s="2" t="str">
        <x:v>Одежда</x:v>
      </x:c>
      <x:c r="D1192" s="2" t="str">
        <x:v>Куртка</x:v>
      </x:c>
      <x:c r="E1192" s="7" t="n">
        <x:v>133672.47</x:v>
      </x:c>
      <x:c r="F1192" s="9" t="n">
        <x:v>10</x:v>
      </x:c>
      <x:c r="G1192" s="2" t="str">
        <x:v>Екатеринбург</x:v>
      </x:c>
      <x:c r="H1192" s="7" t="n">
        <x:f>E1192*F1192</x:f>
        <x:v>1336724.7</x:v>
      </x:c>
      <x:c r="I1192" s="2" t="str">
        <x:f>TEXT(B1192,"yyyy-mm")</x:f>
        <x:v>2023-12</x:v>
      </x:c>
      <x:c r="J1192" s="8" t="n">
        <x:f>COUNTIFS($H$2:$H$1201,"&gt;"&amp;H1192)+COUNTIFS($H$2:H1192,H1192)</x:f>
        <x:v>9</x:v>
      </x:c>
      <x:c r="K1192" s="1"/>
      <x:c r="L1192" s="1"/>
    </x:row>
    <x:row r="1193" ht="22" customHeight="1">
      <x:c r="A1193" s="8" t="n">
        <x:v>554</x:v>
      </x:c>
      <x:c r="B1193" s="6" t="n">
        <x:v>45289</x:v>
      </x:c>
      <x:c r="C1193" s="2" t="str">
        <x:v>Электроника</x:v>
      </x:c>
      <x:c r="D1193" s="2" t="str">
        <x:v>Ноутбук</x:v>
      </x:c>
      <x:c r="E1193" s="7" t="n">
        <x:v>98257.04</x:v>
      </x:c>
      <x:c r="F1193" s="9" t="n">
        <x:v>7</x:v>
      </x:c>
      <x:c r="G1193" s="2" t="str">
        <x:v>Казань</x:v>
      </x:c>
      <x:c r="H1193" s="7" t="n">
        <x:f>E1193*F1193</x:f>
        <x:v>687799.2799999999</x:v>
      </x:c>
      <x:c r="I1193" s="2" t="str">
        <x:f>TEXT(B1193,"yyyy-mm")</x:f>
        <x:v>2023-12</x:v>
      </x:c>
      <x:c r="J1193" s="8" t="n">
        <x:f>COUNTIFS($H$2:$H$1201,"&gt;"&amp;H1193)+COUNTIFS($H$2:H1193,H1193)</x:f>
        <x:v>271</x:v>
      </x:c>
      <x:c r="K1193" s="1"/>
      <x:c r="L1193" s="1"/>
    </x:row>
    <x:row r="1194" ht="22" customHeight="1">
      <x:c r="A1194" s="8" t="n">
        <x:v>252</x:v>
      </x:c>
      <x:c r="B1194" s="6" t="n">
        <x:v>45290</x:v>
      </x:c>
      <x:c r="C1194" s="2" t="str">
        <x:v>Продукты</x:v>
      </x:c>
      <x:c r="D1194" s="2" t="str">
        <x:v>Молоко</x:v>
      </x:c>
      <x:c r="E1194" s="7" t="n">
        <x:v>4248.53</x:v>
      </x:c>
      <x:c r="F1194" s="9" t="n">
        <x:v>6</x:v>
      </x:c>
      <x:c r="G1194" s="2" t="str">
        <x:v>Московская область</x:v>
      </x:c>
      <x:c r="H1194" s="7" t="n">
        <x:f>E1194*F1194</x:f>
        <x:v>25491.18</x:v>
      </x:c>
      <x:c r="I1194" s="2" t="str">
        <x:f>TEXT(B1194,"yyyy-mm")</x:f>
        <x:v>2023-12</x:v>
      </x:c>
      <x:c r="J1194" s="8" t="n">
        <x:f>COUNTIFS($H$2:$H$1201,"&gt;"&amp;H1194)+COUNTIFS($H$2:H1194,H1194)</x:f>
        <x:v>1140</x:v>
      </x:c>
      <x:c r="K1194" s="1"/>
      <x:c r="L1194" s="1"/>
    </x:row>
    <x:row r="1195" ht="22" customHeight="1">
      <x:c r="A1195" s="8" t="n">
        <x:v>482</x:v>
      </x:c>
      <x:c r="B1195" s="6" t="n">
        <x:v>45290</x:v>
      </x:c>
      <x:c r="C1195" s="2" t="str">
        <x:v>Товары для дома</x:v>
      </x:c>
      <x:c r="D1195" s="2" t="str">
        <x:v>Полотенце</x:v>
      </x:c>
      <x:c r="E1195" s="7" t="n">
        <x:v>98383.78</x:v>
      </x:c>
      <x:c r="F1195" s="9" t="n">
        <x:v>9</x:v>
      </x:c>
      <x:c r="G1195" s="2" t="str">
        <x:v>Новосибирск</x:v>
      </x:c>
      <x:c r="H1195" s="7" t="n">
        <x:f>E1195*F1195</x:f>
        <x:v>885454.02</x:v>
      </x:c>
      <x:c r="I1195" s="2" t="str">
        <x:f>TEXT(B1195,"yyyy-mm")</x:f>
        <x:v>2023-12</x:v>
      </x:c>
      <x:c r="J1195" s="8" t="n">
        <x:f>COUNTIFS($H$2:$H$1201,"&gt;"&amp;H1195)+COUNTIFS($H$2:H1195,H1195)</x:f>
        <x:v>141</x:v>
      </x:c>
      <x:c r="K1195" s="1"/>
      <x:c r="L1195" s="1"/>
    </x:row>
    <x:row r="1196" ht="22" customHeight="1">
      <x:c r="A1196" s="8" t="n">
        <x:v>634</x:v>
      </x:c>
      <x:c r="B1196" s="6" t="n">
        <x:v>45290</x:v>
      </x:c>
      <x:c r="C1196" s="2" t="str">
        <x:v>Продукты</x:v>
      </x:c>
      <x:c r="D1196" s="2" t="str">
        <x:v>Хлеб</x:v>
      </x:c>
      <x:c r="E1196" s="7" t="n">
        <x:v>62813.78</x:v>
      </x:c>
      <x:c r="F1196" s="9" t="n">
        <x:v>7</x:v>
      </x:c>
      <x:c r="G1196" s="2" t="str">
        <x:v>Санкт‑Петербург</x:v>
      </x:c>
      <x:c r="H1196" s="7" t="n">
        <x:f>E1196*F1196</x:f>
        <x:v>439696.45999999996</x:v>
      </x:c>
      <x:c r="I1196" s="2" t="str">
        <x:f>TEXT(B1196,"yyyy-mm")</x:f>
        <x:v>2023-12</x:v>
      </x:c>
      <x:c r="J1196" s="8" t="n">
        <x:f>COUNTIFS($H$2:$H$1201,"&gt;"&amp;H1196)+COUNTIFS($H$2:H1196,H1196)</x:f>
        <x:v>467</x:v>
      </x:c>
      <x:c r="K1196" s="1"/>
      <x:c r="L1196" s="1"/>
    </x:row>
    <x:row r="1197" ht="22" customHeight="1">
      <x:c r="A1197" s="8" t="n">
        <x:v>1151</x:v>
      </x:c>
      <x:c r="B1197" s="6" t="n">
        <x:v>45290</x:v>
      </x:c>
      <x:c r="C1197" s="2" t="str">
        <x:v>Электроника</x:v>
      </x:c>
      <x:c r="D1197" s="2" t="str">
        <x:v>Ноутбук</x:v>
      </x:c>
      <x:c r="E1197" s="7" t="n">
        <x:v>133292.48</x:v>
      </x:c>
      <x:c r="F1197" s="9" t="n">
        <x:v>9</x:v>
      </x:c>
      <x:c r="G1197" s="2" t="str">
        <x:v>Новосибирск</x:v>
      </x:c>
      <x:c r="H1197" s="7" t="n">
        <x:f>E1197*F1197</x:f>
        <x:v>1199632.32</x:v>
      </x:c>
      <x:c r="I1197" s="2" t="str">
        <x:f>TEXT(B1197,"yyyy-mm")</x:f>
        <x:v>2023-12</x:v>
      </x:c>
      <x:c r="J1197" s="8" t="n">
        <x:f>COUNTIFS($H$2:$H$1201,"&gt;"&amp;H1197)+COUNTIFS($H$2:H1197,H1197)</x:f>
        <x:v>33</x:v>
      </x:c>
      <x:c r="K1197" s="1"/>
      <x:c r="L1197" s="1"/>
    </x:row>
    <x:row r="1198" ht="22" customHeight="1">
      <x:c r="A1198" s="8" t="n">
        <x:v>490</x:v>
      </x:c>
      <x:c r="B1198" s="6" t="n">
        <x:v>45291</x:v>
      </x:c>
      <x:c r="C1198" s="2" t="str">
        <x:v>Товары для дома</x:v>
      </x:c>
      <x:c r="D1198" s="2" t="str">
        <x:v>Кружка</x:v>
      </x:c>
      <x:c r="E1198" s="7" t="n">
        <x:v>133910.84</x:v>
      </x:c>
      <x:c r="F1198" s="9" t="n">
        <x:v>6</x:v>
      </x:c>
      <x:c r="G1198" s="2" t="str">
        <x:v>Санкт‑Петербург</x:v>
      </x:c>
      <x:c r="H1198" s="7" t="n">
        <x:f>E1198*F1198</x:f>
        <x:v>803465.04</x:v>
      </x:c>
      <x:c r="I1198" s="2" t="str">
        <x:f>TEXT(B1198,"yyyy-mm")</x:f>
        <x:v>2023-12</x:v>
      </x:c>
      <x:c r="J1198" s="8" t="n">
        <x:f>COUNTIFS($H$2:$H$1201,"&gt;"&amp;H1198)+COUNTIFS($H$2:H1198,H1198)</x:f>
        <x:v>195</x:v>
      </x:c>
      <x:c r="K1198" s="1"/>
      <x:c r="L1198" s="1"/>
    </x:row>
    <x:row r="1199" ht="22" customHeight="1">
      <x:c r="A1199" s="8" t="n">
        <x:v>821</x:v>
      </x:c>
      <x:c r="B1199" s="6" t="n">
        <x:v>45291</x:v>
      </x:c>
      <x:c r="C1199" s="2" t="str">
        <x:v>Электроника</x:v>
      </x:c>
      <x:c r="D1199" s="2" t="str">
        <x:v>Ноутбук</x:v>
      </x:c>
      <x:c r="E1199" s="7" t="n">
        <x:v>145349.31</x:v>
      </x:c>
      <x:c r="F1199" s="9" t="n">
        <x:v>3</x:v>
      </x:c>
      <x:c r="G1199" s="2" t="str">
        <x:v>Санкт‑Петербург</x:v>
      </x:c>
      <x:c r="H1199" s="7" t="n">
        <x:f>E1199*F1199</x:f>
        <x:v>436047.93</x:v>
      </x:c>
      <x:c r="I1199" s="2" t="str">
        <x:f>TEXT(B1199,"yyyy-mm")</x:f>
        <x:v>2023-12</x:v>
      </x:c>
      <x:c r="J1199" s="8" t="n">
        <x:f>COUNTIFS($H$2:$H$1201,"&gt;"&amp;H1199)+COUNTIFS($H$2:H1199,H1199)</x:f>
        <x:v>476</x:v>
      </x:c>
      <x:c r="K1199" s="1"/>
      <x:c r="L1199" s="1"/>
    </x:row>
    <x:row r="1200" ht="22" customHeight="1">
      <x:c r="A1200" s="8" t="n">
        <x:v>851</x:v>
      </x:c>
      <x:c r="B1200" s="6" t="n">
        <x:v>45291</x:v>
      </x:c>
      <x:c r="C1200" s="2" t="str">
        <x:v>Электроника</x:v>
      </x:c>
      <x:c r="D1200" s="2" t="str">
        <x:v>Планшет</x:v>
      </x:c>
      <x:c r="E1200" s="7" t="n">
        <x:v>99075.4</x:v>
      </x:c>
      <x:c r="F1200" s="9" t="n">
        <x:v>9</x:v>
      </x:c>
      <x:c r="G1200" s="2" t="str">
        <x:v>Московская область</x:v>
      </x:c>
      <x:c r="H1200" s="7" t="n">
        <x:f>E1200*F1200</x:f>
        <x:v>891678.6</x:v>
      </x:c>
      <x:c r="I1200" s="2" t="str">
        <x:f>TEXT(B1200,"yyyy-mm")</x:f>
        <x:v>2023-12</x:v>
      </x:c>
      <x:c r="J1200" s="8" t="n">
        <x:f>COUNTIFS($H$2:$H$1201,"&gt;"&amp;H1200)+COUNTIFS($H$2:H1200,H1200)</x:f>
        <x:v>139</x:v>
      </x:c>
      <x:c r="K1200" s="1"/>
      <x:c r="L1200" s="1"/>
    </x:row>
    <x:row r="1201" ht="22" customHeight="1">
      <x:c r="A1201" s="8" t="n">
        <x:v>890</x:v>
      </x:c>
      <x:c r="B1201" s="6" t="n">
        <x:v>45291</x:v>
      </x:c>
      <x:c r="C1201" s="2" t="str">
        <x:v>Продукты</x:v>
      </x:c>
      <x:c r="D1201" s="2" t="str">
        <x:v>Кофе</x:v>
      </x:c>
      <x:c r="E1201" s="7" t="n">
        <x:v>1370.45</x:v>
      </x:c>
      <x:c r="F1201" s="9" t="n">
        <x:v>9</x:v>
      </x:c>
      <x:c r="G1201" s="2" t="str">
        <x:v>Московская область</x:v>
      </x:c>
      <x:c r="H1201" s="7" t="n">
        <x:f>E1201*F1201</x:f>
        <x:v>12334.050000000001</x:v>
      </x:c>
      <x:c r="I1201" s="2" t="str">
        <x:f>TEXT(B1201,"yyyy-mm")</x:f>
        <x:v>2023-12</x:v>
      </x:c>
      <x:c r="J1201" s="8" t="n">
        <x:f>COUNTIFS($H$2:$H$1201,"&gt;"&amp;H1201)+COUNTIFS($H$2:H1201,H1201)</x:f>
        <x:v>1178</x:v>
      </x:c>
      <x:c r="K1201" s="1"/>
      <x:c r="L1201" s="1"/>
    </x:row>
  </x:sheetData>
  <x:pageMargins left="0.7" right="0.7" top="0.75" bottom="0.75" header="0.3" footer="0.3"/>
  <x:tableParts count="1">
    <x:tablePart xmlns:r="http://schemas.openxmlformats.org/officeDocument/2006/relationships" r:id="Rface4870c0a74291"/>
  </x:tableParts>
</x:worksheet>
</file>